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3c321b27a7bf4893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1240d02507f1707/017. Macros/Inkapitales/Rentas_con_Gradientes/"/>
    </mc:Choice>
  </mc:AlternateContent>
  <xr:revisionPtr revIDLastSave="117" documentId="13_ncr:1_{E2274DF8-D214-4B2E-B8CC-6F2A858EDA18}" xr6:coauthVersionLast="47" xr6:coauthVersionMax="47" xr10:uidLastSave="{9DB4B8D8-BEAC-42AD-9671-F9C5BFCFC931}"/>
  <bookViews>
    <workbookView minimized="1" xWindow="5748" yWindow="3720" windowWidth="17280" windowHeight="9960" activeTab="1" xr2:uid="{3B0C273C-F8FB-4DC7-86EB-B0CAF1ED3171}"/>
  </bookViews>
  <sheets>
    <sheet name="Mate_Finan" sheetId="1" r:id="rId1"/>
    <sheet name="Pruebas" sheetId="2" r:id="rId2"/>
  </sheets>
  <functionGroups builtInGroupCount="19"/>
  <definedNames>
    <definedName name="_xlnm.Print_Area" localSheetId="0">Mate_Finan!$A$1:$Z$64</definedName>
  </definedNames>
  <calcPr calcId="191029"/>
  <extLst>
    <ext xmlns:x14="http://schemas.microsoft.com/office/spreadsheetml/2009/9/main" uri="{8193D73E-4604-4355-AFF4-8A2333D13BE4}">
      <x14:definedNames>
        <x14:definedName name="Factor_RGG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(Gradiente Geométrica) Es el valor de la gradiente geométrica. Valor porcentual entre 0% y 100%.</x14:argumentDescription>
          </x14:argumentDescriptions>
        </x14:definedName>
        <x14:definedName name="Factor_RGG_cPER">
          <x14:argumentDescriptions count="2">
            <x14:argumentDescription index="0">(Tasa) Es el valor de la tasa efectiva en la misma periodicidad que el flujo de caja evaluado. Puede expresarse como porcentaje o su valor unitario.</x14:argumentDescription>
            <x14:argumentDescription index="1">(Gradiente Geométrica) Es el valor de la gradiente geométrica. Valor porcentual entre 0% y 100%.</x14:argumentDescription>
          </x14:argumentDescriptions>
        </x14:definedName>
        <x14:definedName name="Factor_RU">
          <x14:argumentDescriptions count="2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</x14:argumentDescriptions>
        </x14:definedName>
        <x14:definedName name="Factor2_RGA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(Gradiente Aritmétrica) Es el valor de la gradiente aritmétrica. Valor monetario.</x14:argumentDescription>
          </x14:argumentDescriptions>
        </x14:definedName>
        <x14:definedName name="Factor2_RGA_cPER">
          <x14:argumentDescriptions count="2">
            <x14:argumentDescription index="0">(Tasa) Es el valor de la tasa efectiva en la misma periodicidad que el flujo de caja evaluado. Puede expresarse como porcentaje o su valor unitario.</x14:argumentDescription>
            <x14:argumentDescription index="1">(Gradiente Aritmétrica) Es el valor de la gradiente aritmétrica. Valor monetario.</x14:argumentDescription>
          </x14:argumentDescriptions>
        </x14:definedName>
        <x14:definedName name="FV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FV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PMT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(Valor Presente) Es el importe a valor presente a distribuir en pagos con gradiente geométrica.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PMT_RGA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(Valor Presente) Es el importe a valor presente a distribuir en pagos frecuentes con gradiente aritmética.</x14:argumentDescription>
            <x14:argumentDescription index="2">(Gradiente Aritmética) Es el valor de la gradiente aritmética. Valor en términos monetarios (US$, PEN u otro).</x14:argumentDescription>
          </x14:argumentDescriptions>
        </x14:definedName>
        <x14:definedName name="PMT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(Valor Presente) Es el importe a valor presente a distribuir en pagos con gradiente geométrica.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PMT_RGG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(Valor Presente) Es el importe a valor presente a distribuir en pagos frecuentes con gradiente geométrica.</x14:argumentDescription>
            <x14:argumentDescription index="2">(Gradiente Geométrica) Es el valor de la gradiente geométrica. Valor porcentual entre 0% y 100%.</x14:argumentDescription>
          </x14:argumentDescriptions>
        </x14:definedName>
        <x14:definedName name="PV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PV_RGA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Aritmética) Es el valor de la gradiente aritmética. Valor en términos monetarios (US$, PEN u otro).</x14:argumentDescription>
          </x14:argumentDescriptions>
        </x14:definedName>
        <x14:definedName name="PV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PV_RGG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Geométrica) Es el valor de la gradiente geométrica. Valor porcentual entre 0% y 100%.</x14:argumentDescription>
          </x14:argumentDescriptions>
        </x14:definedName>
        <x14:definedName name="VF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VF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VP_RGA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Aritmética) Es el valor de la gradiente aritmética. Valor en términos monetarios (US$, PEN u otro).</x14:argumentDescription>
          </x14:argumentDescriptions>
        </x14:definedName>
        <x14:definedName name="VP_RGA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Aritmética) Es el valor de la gradiente aritmética. Valor en términos monetarios (US$, PEN u otro).</x14:argumentDescription>
          </x14:argumentDescriptions>
        </x14:definedName>
        <x14:definedName name="VP_RGG">
          <x14:argumentDescriptions count="4">
            <x14:argumentDescription index="0">(Tasa) Es el valor de la tasa efectiva en la misma periodicidad que el flujo de caja evaluado. Puede expresarse como porcentaje o su valor unitario.</x14:argumentDescription>
            <x14:argumentDescription index="1">(Número de pagos) Es el número de pagos de la serie geométrica. Se puede tratar de un número entero como decimal.</x14:argumentDescription>
            <x14:argumentDescription index="2">(Pago) Es la anualidad, renta, pago o cuota recurrente en la misma periodicidad del flujo y tasa efectiva.</x14:argumentDescription>
            <x14:argumentDescription index="3">(Gradiente Geométrica) Es el valor de la gradiente geométrica. Valor porcentual entre 0% y 100%.</x14:argumentDescription>
          </x14:argumentDescriptions>
        </x14:definedName>
        <x14:definedName name="VP_RGG_cPER">
          <x14:argumentDescriptions count="3">
            <x14:argumentDescription index="0">(Tasa) Es el valor de la tasa efectiva en la misma periodicidad que el flujo de caja evaluado. Puede expresarse como porcentaje o su valor unitario.</x14:argumentDescription>
            <x14:argumentDescription index="1">(Pago) Es la anualidad, renta, pago o cuota recurrente en la misma periodicidad del flujo y tasa efectiva.</x14:argumentDescription>
            <x14:argumentDescription index="2">(Gradiente Geométrica) Es el valor de la gradiente geométrica. Valor porcentual entre 0% y 100%.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4" i="1" l="1"/>
  <c r="I94" i="1"/>
  <c r="I96" i="1"/>
  <c r="F93" i="1" a="1"/>
  <c r="C77" i="1" a="1"/>
  <c r="D36" i="1" a="1"/>
  <c r="M35" i="1" a="1"/>
  <c r="M36" i="1" a="1"/>
  <c r="I77" i="1" a="1"/>
  <c r="C93" i="1" a="1"/>
  <c r="I93" i="1" a="1"/>
  <c r="E77" i="1" a="1"/>
  <c r="C36" i="1" a="1"/>
  <c r="C35" i="1" a="1"/>
  <c r="G77" i="1" a="1"/>
  <c r="D35" i="1" a="1"/>
  <c r="A1" i="2"/>
  <c r="D36" i="1" l="1"/>
  <c r="D35" i="1"/>
  <c r="C35" i="1"/>
  <c r="I93" i="1"/>
  <c r="F93" i="1"/>
  <c r="C93" i="1"/>
  <c r="I77" i="1"/>
  <c r="G77" i="1"/>
  <c r="E77" i="1"/>
  <c r="C77" i="1"/>
  <c r="M36" i="1"/>
  <c r="M35" i="1"/>
  <c r="C36" i="1"/>
  <c r="C96" i="1" l="1"/>
  <c r="C99" i="1" s="1"/>
  <c r="C94" i="1"/>
  <c r="C97" i="1" s="1"/>
  <c r="I78" i="1"/>
  <c r="G78" i="1"/>
  <c r="E78" i="1"/>
  <c r="C78" i="1"/>
  <c r="M19" i="1"/>
  <c r="D19" i="1"/>
  <c r="C19" i="1"/>
  <c r="I79" i="1" l="1"/>
  <c r="G79" i="1"/>
  <c r="E79" i="1"/>
  <c r="C7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Alfonso Chang</author>
  </authors>
  <commentList>
    <comment ref="C8" authorId="0" shapeId="0" xr:uid="{71F62DE4-D9DC-4E1E-97C8-E9F660C9C8B2}">
      <text>
        <r>
          <rPr>
            <b/>
            <sz val="9"/>
            <color indexed="81"/>
            <rFont val="Tahoma"/>
            <family val="2"/>
          </rPr>
          <t>Celdas de introducción de datos</t>
        </r>
      </text>
    </comment>
    <comment ref="C19" authorId="0" shapeId="0" xr:uid="{F27281C0-4898-4436-96F5-E5FBA87F96D9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 nativa de Excel</t>
        </r>
      </text>
    </comment>
    <comment ref="M19" authorId="0" shapeId="0" xr:uid="{E023C989-A379-48E0-A09E-A4A1AD94D52C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 nativa de Excel</t>
        </r>
      </text>
    </comment>
    <comment ref="D35" authorId="0" shapeId="0" xr:uid="{DE1C1D36-D6A9-4579-9B8F-6CB7F4E842E0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Fórmulas personalizadas
Igual syntaxis que las fórmulas nativas</t>
        </r>
      </text>
    </comment>
    <comment ref="M35" authorId="0" shapeId="0" xr:uid="{E369F53C-FB1E-4AAA-AF56-9B8723EBC3CF}">
      <text>
        <r>
          <rPr>
            <b/>
            <sz val="9"/>
            <color indexed="81"/>
            <rFont val="Tahoma"/>
            <family val="2"/>
          </rPr>
          <t>Alfonso Chang:</t>
        </r>
        <r>
          <rPr>
            <sz val="9"/>
            <color indexed="81"/>
            <rFont val="Tahoma"/>
            <family val="2"/>
          </rPr>
          <t xml:space="preserve">
Fórmulas personalizadas
Igual syntaxis que las fórmulas nativas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<sst xmlns="http://schemas.openxmlformats.org/spreadsheetml/2006/main" count="100" uniqueCount="62">
  <si>
    <t>Condiciones base</t>
  </si>
  <si>
    <t>n per</t>
  </si>
  <si>
    <t>g%</t>
  </si>
  <si>
    <t>G</t>
  </si>
  <si>
    <t>Valor Presente de Renta Uniforme</t>
  </si>
  <si>
    <t>Valor Futuro de Renta Uniforme</t>
  </si>
  <si>
    <t>Sin</t>
  </si>
  <si>
    <t>Con</t>
  </si>
  <si>
    <t>Perpetuidad</t>
  </si>
  <si>
    <t>VP_RU</t>
  </si>
  <si>
    <t>VF_RU</t>
  </si>
  <si>
    <t>Infinito</t>
  </si>
  <si>
    <t>Valor Presente de Renta con Gradiente</t>
  </si>
  <si>
    <t>Valor Futuro de Renta con Gradiente</t>
  </si>
  <si>
    <t>VP_RGG</t>
  </si>
  <si>
    <t>VF_RGG</t>
  </si>
  <si>
    <t>VP_RGA</t>
  </si>
  <si>
    <t>VF_RGA</t>
  </si>
  <si>
    <t xml:space="preserve">pcafacha@upc.edu.pe </t>
  </si>
  <si>
    <t>t%</t>
  </si>
  <si>
    <t>R (anualidad)</t>
  </si>
  <si>
    <t>1) Cuando: t% &gt; g%</t>
  </si>
  <si>
    <t xml:space="preserve">2) Cuando t% &lt;= g% </t>
  </si>
  <si>
    <t>© Alfonso Chang, MSc</t>
  </si>
  <si>
    <t>MATEMÁTICAS FINANCIERAS - FORMULAS DE RENTAS CON GRADIENTES</t>
  </si>
  <si>
    <t>achangm@uni.edu.pe</t>
  </si>
  <si>
    <t>Valor Presente</t>
  </si>
  <si>
    <t>Renta con GA</t>
  </si>
  <si>
    <t>Renta con GG</t>
  </si>
  <si>
    <t>Finita</t>
  </si>
  <si>
    <t>Renta_GA</t>
  </si>
  <si>
    <t>Renta_GG</t>
  </si>
  <si>
    <t>Renta_GA_Perp</t>
  </si>
  <si>
    <t>Diferencia</t>
  </si>
  <si>
    <t>1) Cuando: t% &lt;&gt; g%</t>
  </si>
  <si>
    <t>2) Cuando: t% = g%</t>
  </si>
  <si>
    <t>VP  RGG Sin PERPETUIDAD</t>
  </si>
  <si>
    <t>VP RGG Con PERPETUIDAD:  n --&gt; infinito</t>
  </si>
  <si>
    <t>VP  RGA Sin PERPETUIDAD</t>
  </si>
  <si>
    <t>VP RGA Con PERPETUIDAD:  n --&gt; infinito</t>
  </si>
  <si>
    <t>VF  RGG Sin PERPETUIDAD</t>
  </si>
  <si>
    <t>VF RGG Con PERPETUIDAD:  n --&gt; infinito</t>
  </si>
  <si>
    <t>VF  RGA Sin PERPETUIDAD</t>
  </si>
  <si>
    <t>VF  RGA Con PERPETUIDAD n --&gt; infinito</t>
  </si>
  <si>
    <t>1. CÁLCULO DE VALOR PRESENTE Y FUTURO DE RENTAS UNIFORMES</t>
  </si>
  <si>
    <t>2. CÁLCULO DE VALOR PRESENTE Y FUTURO DE RENTAS CON GRADIENTE</t>
  </si>
  <si>
    <t>3. CÁLCULO DE RENTAS INICIALES CON GRADIENTES</t>
  </si>
  <si>
    <t>Renta_GG_Perp</t>
  </si>
  <si>
    <t>Factor de Actualización:</t>
  </si>
  <si>
    <t>Renta Uniforme</t>
  </si>
  <si>
    <t>Renta con Gradiente Geométrica</t>
  </si>
  <si>
    <t>Renta con Gradiente Aritmética</t>
  </si>
  <si>
    <t>Valor presente</t>
  </si>
  <si>
    <t>gg</t>
  </si>
  <si>
    <t>GA</t>
  </si>
  <si>
    <t>Factor_Actualización [Función]</t>
  </si>
  <si>
    <t>Factor_Actualización [MateFin]</t>
  </si>
  <si>
    <t>Renta_Uniforme [Calc]</t>
  </si>
  <si>
    <t>Renta_Uniforme [Función]</t>
  </si>
  <si>
    <t>alfonso@inkapitales.com</t>
  </si>
  <si>
    <t>4. CÁLCULO DE FACTORES DE ACTUALIZACIÓN</t>
  </si>
  <si>
    <t>PERSONALIZADAS (UDF) con VBA (Visual Basic for Applications)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</si>
</sst>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&quot;$&quot;#,##0.00;[Red]\-&quot;$&quot;#,##0.00"/>
    <numFmt numFmtId="165" formatCode="_-&quot;$&quot;* #,##0.00_-;\-&quot;$&quot;* #,##0.00_-;_-&quot;$&quot;* &quot;-&quot;??_-;_-@_-"/>
    <numFmt numFmtId="166" formatCode="_-* #,##0_-;\-* #,##0_-;_-* &quot;-&quot;??_-;_-@_-"/>
    <numFmt numFmtId="167" formatCode="_-&quot;$&quot;* #,##0.00000_-;\-&quot;$&quot;* #,##0.00000_-;_-&quot;$&quot;* &quot;-&quot;??_-;_-@_-"/>
    <numFmt numFmtId="168" formatCode="0.000%"/>
    <numFmt numFmtId="169" formatCode="0.0%"/>
    <numFmt numFmtId="170" formatCode="_-* #,##0.00000_-;\-* #,##0.00000_-;_-* &quot;-&quot;??_-;_-@_-"/>
    <numFmt numFmtId="171" formatCode="_-* #,##0.000000_-;\-* #,##0.00000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4"/>
      <color rgb="FFFF0000"/>
      <name val="Trebuchet MS"/>
      <family val="2"/>
    </font>
    <font>
      <b/>
      <sz val="12"/>
      <color theme="1" tint="0.499984740745262"/>
      <name val="Trebuchet MS"/>
      <family val="2"/>
    </font>
    <font>
      <sz val="12"/>
      <color theme="1"/>
      <name val="Trebuchet MS"/>
      <family val="2"/>
    </font>
    <font>
      <b/>
      <sz val="11"/>
      <color theme="1"/>
      <name val="Trebuchet MS"/>
      <family val="2"/>
    </font>
    <font>
      <sz val="11"/>
      <color rgb="FF0066FF"/>
      <name val="Trebuchet MS"/>
      <family val="2"/>
    </font>
    <font>
      <b/>
      <sz val="14"/>
      <color theme="1" tint="0.499984740745262"/>
      <name val="Trebuchet MS"/>
      <family val="2"/>
    </font>
    <font>
      <b/>
      <sz val="11"/>
      <color theme="1" tint="0.499984740745262"/>
      <name val="Trebuchet MS"/>
      <family val="2"/>
    </font>
    <font>
      <sz val="11"/>
      <color theme="5"/>
      <name val="Trebuchet MS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 tint="0.499984740745262"/>
      <name val="Trebuchet MS"/>
      <family val="2"/>
    </font>
    <font>
      <sz val="11"/>
      <color rgb="FF002060"/>
      <name val="Trebuchet MS"/>
      <family val="2"/>
    </font>
    <font>
      <b/>
      <sz val="11"/>
      <color rgb="FF0066FF"/>
      <name val="Trebuchet MS"/>
      <family val="2"/>
    </font>
    <font>
      <b/>
      <sz val="18"/>
      <color theme="1"/>
      <name val="Trebuchet MS"/>
      <family val="2"/>
    </font>
    <font>
      <b/>
      <i/>
      <sz val="11"/>
      <color theme="3"/>
      <name val="Trebuchet MS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Trellis">
        <bgColor theme="0" tint="-0.249977111117893"/>
      </patternFill>
    </fill>
    <fill>
      <patternFill patternType="solid">
        <fgColor theme="2" tint="-9.9978637043366805E-2"/>
        <bgColor indexed="64"/>
      </patternFill>
    </fill>
  </fills>
  <borders count="14">
    <border>
      <left/>
      <right/>
      <top/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DashDot">
        <color theme="0" tint="-0.499984740745262"/>
      </right>
      <top/>
      <bottom/>
      <diagonal/>
    </border>
    <border>
      <left style="thin">
        <color theme="1" tint="0.499984740745262"/>
      </left>
      <right style="dotted">
        <color theme="0"/>
      </right>
      <top style="thin">
        <color theme="1" tint="0.499984740745262"/>
      </top>
      <bottom style="dotted">
        <color rgb="FF0033CC"/>
      </bottom>
      <diagonal/>
    </border>
    <border>
      <left style="thin">
        <color theme="1" tint="0.499984740745262"/>
      </left>
      <right style="dotted">
        <color theme="0"/>
      </right>
      <top style="dotted">
        <color rgb="FF0033CC"/>
      </top>
      <bottom style="dotted">
        <color rgb="FF0033CC"/>
      </bottom>
      <diagonal/>
    </border>
    <border>
      <left style="thin">
        <color theme="1" tint="0.499984740745262"/>
      </left>
      <right style="dotted">
        <color theme="0"/>
      </right>
      <top style="dotted">
        <color rgb="FF0033CC"/>
      </top>
      <bottom style="dotted">
        <color theme="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0"/>
      </bottom>
      <diagonal/>
    </border>
    <border>
      <left/>
      <right/>
      <top style="thin">
        <color theme="1" tint="0.499984740745262"/>
      </top>
      <bottom style="thin">
        <color theme="0"/>
      </bottom>
      <diagonal/>
    </border>
    <border>
      <left/>
      <right style="medium">
        <color theme="0"/>
      </right>
      <top style="thin">
        <color theme="1" tint="0.499984740745262"/>
      </top>
      <bottom style="thin">
        <color theme="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medium">
        <color theme="0"/>
      </bottom>
      <diagonal/>
    </border>
    <border>
      <left/>
      <right style="medium">
        <color theme="0"/>
      </right>
      <top style="thin">
        <color theme="1" tint="0.499984740745262"/>
      </top>
      <bottom style="medium">
        <color theme="0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5">
    <xf numFmtId="0" fontId="0" fillId="0" borderId="0" xfId="0"/>
    <xf numFmtId="0" fontId="2" fillId="2" borderId="0" xfId="0" applyFont="1" applyFill="1"/>
    <xf numFmtId="0" fontId="3" fillId="2" borderId="0" xfId="0" quotePrefix="1" applyFont="1" applyFill="1"/>
    <xf numFmtId="0" fontId="11" fillId="2" borderId="0" xfId="3" applyFill="1"/>
    <xf numFmtId="0" fontId="4" fillId="2" borderId="0" xfId="0" applyFont="1" applyFill="1"/>
    <xf numFmtId="0" fontId="5" fillId="2" borderId="0" xfId="0" applyFont="1" applyFill="1"/>
    <xf numFmtId="0" fontId="14" fillId="2" borderId="0" xfId="0" applyFont="1" applyFill="1"/>
    <xf numFmtId="0" fontId="6" fillId="2" borderId="0" xfId="0" applyFont="1" applyFill="1"/>
    <xf numFmtId="0" fontId="2" fillId="2" borderId="5" xfId="0" applyFont="1" applyFill="1" applyBorder="1"/>
    <xf numFmtId="0" fontId="8" fillId="2" borderId="0" xfId="0" applyFont="1" applyFill="1"/>
    <xf numFmtId="0" fontId="9" fillId="2" borderId="0" xfId="0" applyFont="1" applyFill="1"/>
    <xf numFmtId="0" fontId="9" fillId="2" borderId="1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9" fillId="2" borderId="0" xfId="0" applyFont="1" applyFill="1" applyAlignment="1">
      <alignment horizontal="centerContinuous" vertical="center"/>
    </xf>
    <xf numFmtId="0" fontId="6" fillId="2" borderId="3" xfId="0" applyFont="1" applyFill="1" applyBorder="1"/>
    <xf numFmtId="0" fontId="6" fillId="2" borderId="4" xfId="0" applyFont="1" applyFill="1" applyBorder="1"/>
    <xf numFmtId="165" fontId="7" fillId="2" borderId="0" xfId="2" applyFont="1" applyFill="1"/>
    <xf numFmtId="165" fontId="2" fillId="2" borderId="0" xfId="0" applyNumberFormat="1" applyFont="1" applyFill="1"/>
    <xf numFmtId="0" fontId="17" fillId="2" borderId="0" xfId="0" applyFont="1" applyFill="1"/>
    <xf numFmtId="9" fontId="16" fillId="3" borderId="6" xfId="0" applyNumberFormat="1" applyFont="1" applyFill="1" applyBorder="1" applyProtection="1">
      <protection locked="0"/>
    </xf>
    <xf numFmtId="0" fontId="16" fillId="3" borderId="7" xfId="0" applyFont="1" applyFill="1" applyBorder="1" applyProtection="1">
      <protection locked="0"/>
    </xf>
    <xf numFmtId="165" fontId="16" fillId="3" borderId="7" xfId="2" applyFont="1" applyFill="1" applyBorder="1" applyProtection="1">
      <protection locked="0"/>
    </xf>
    <xf numFmtId="9" fontId="16" fillId="3" borderId="7" xfId="0" applyNumberFormat="1" applyFont="1" applyFill="1" applyBorder="1" applyProtection="1">
      <protection locked="0"/>
    </xf>
    <xf numFmtId="166" fontId="16" fillId="3" borderId="8" xfId="1" applyNumberFormat="1" applyFont="1" applyFill="1" applyBorder="1" applyProtection="1">
      <protection locked="0"/>
    </xf>
    <xf numFmtId="165" fontId="15" fillId="3" borderId="9" xfId="2" applyFont="1" applyFill="1" applyBorder="1" applyProtection="1">
      <protection locked="0"/>
    </xf>
    <xf numFmtId="165" fontId="15" fillId="3" borderId="10" xfId="2" applyFont="1" applyFill="1" applyBorder="1" applyProtection="1">
      <protection locked="0"/>
    </xf>
    <xf numFmtId="165" fontId="10" fillId="3" borderId="11" xfId="2" applyFont="1" applyFill="1" applyBorder="1" applyAlignment="1" applyProtection="1">
      <alignment horizontal="center"/>
      <protection locked="0"/>
    </xf>
    <xf numFmtId="165" fontId="15" fillId="3" borderId="11" xfId="2" applyFont="1" applyFill="1" applyBorder="1" applyProtection="1">
      <protection locked="0"/>
    </xf>
    <xf numFmtId="165" fontId="15" fillId="3" borderId="12" xfId="2" applyFont="1" applyFill="1" applyBorder="1" applyProtection="1">
      <protection locked="0"/>
    </xf>
    <xf numFmtId="165" fontId="15" fillId="3" borderId="13" xfId="2" applyFont="1" applyFill="1" applyBorder="1" applyProtection="1">
      <protection locked="0"/>
    </xf>
    <xf numFmtId="165" fontId="10" fillId="3" borderId="13" xfId="2" applyFont="1" applyFill="1" applyBorder="1" applyAlignment="1" applyProtection="1">
      <alignment horizontal="center"/>
      <protection locked="0"/>
    </xf>
    <xf numFmtId="165" fontId="9" fillId="2" borderId="0" xfId="0" applyNumberFormat="1" applyFont="1" applyFill="1"/>
    <xf numFmtId="164" fontId="8" fillId="2" borderId="0" xfId="0" applyNumberFormat="1" applyFont="1" applyFill="1"/>
    <xf numFmtId="0" fontId="2" fillId="2" borderId="0" xfId="0" applyFont="1" applyFill="1" applyAlignment="1">
      <alignment horizontal="center"/>
    </xf>
    <xf numFmtId="10" fontId="2" fillId="2" borderId="0" xfId="4" applyNumberFormat="1" applyFont="1" applyFill="1"/>
    <xf numFmtId="0" fontId="16" fillId="3" borderId="7" xfId="2" applyNumberFormat="1" applyFont="1" applyFill="1" applyBorder="1" applyProtection="1">
      <protection locked="0"/>
    </xf>
    <xf numFmtId="166" fontId="16" fillId="4" borderId="8" xfId="1" applyNumberFormat="1" applyFont="1" applyFill="1" applyBorder="1" applyProtection="1">
      <protection locked="0"/>
    </xf>
    <xf numFmtId="9" fontId="16" fillId="4" borderId="7" xfId="0" applyNumberFormat="1" applyFont="1" applyFill="1" applyBorder="1" applyProtection="1">
      <protection locked="0"/>
    </xf>
    <xf numFmtId="0" fontId="2" fillId="5" borderId="0" xfId="0" applyFont="1" applyFill="1" applyAlignment="1">
      <alignment horizontal="centerContinuous" vertical="center"/>
    </xf>
    <xf numFmtId="167" fontId="2" fillId="2" borderId="0" xfId="0" applyNumberFormat="1" applyFont="1" applyFill="1"/>
    <xf numFmtId="168" fontId="2" fillId="2" borderId="0" xfId="4" applyNumberFormat="1" applyFont="1" applyFill="1"/>
    <xf numFmtId="0" fontId="18" fillId="2" borderId="0" xfId="0" applyFont="1" applyFill="1"/>
    <xf numFmtId="0" fontId="2" fillId="2" borderId="0" xfId="0" applyFont="1" applyFill="1" applyAlignment="1">
      <alignment horizontal="right"/>
    </xf>
    <xf numFmtId="10" fontId="16" fillId="3" borderId="6" xfId="4" applyNumberFormat="1" applyFont="1" applyFill="1" applyBorder="1" applyProtection="1">
      <protection locked="0"/>
    </xf>
    <xf numFmtId="43" fontId="2" fillId="2" borderId="0" xfId="1" applyFont="1" applyFill="1"/>
    <xf numFmtId="170" fontId="2" fillId="2" borderId="0" xfId="1" applyNumberFormat="1" applyFont="1" applyFill="1"/>
    <xf numFmtId="171" fontId="2" fillId="2" borderId="0" xfId="1" applyNumberFormat="1" applyFont="1" applyFill="1"/>
    <xf numFmtId="169" fontId="16" fillId="3" borderId="7" xfId="4" applyNumberFormat="1" applyFont="1" applyFill="1" applyBorder="1" applyProtection="1">
      <protection locked="0"/>
    </xf>
    <xf numFmtId="0" fontId="2" fillId="2" borderId="0" xfId="0" quotePrefix="1" applyFont="1" applyFill="1"/>
    <xf numFmtId="164" fontId="2" fillId="2" borderId="0" xfId="0" applyNumberFormat="1" applyFont="1" applyFill="1"/>
    <xf numFmtId="9" fontId="2" fillId="2" borderId="0" xfId="0" applyNumberFormat="1" applyFont="1" applyFill="1"/>
    <xf numFmtId="43" fontId="7" fillId="2" borderId="0" xfId="1" applyFont="1" applyFill="1"/>
    <xf numFmtId="9" fontId="7" fillId="2" borderId="0" xfId="0" applyNumberFormat="1" applyFont="1" applyFill="1"/>
    <xf numFmtId="0" fontId="7" fillId="2" borderId="0" xfId="0" applyFont="1" applyFill="1"/>
    <xf numFmtId="166" fontId="2" fillId="2" borderId="0" xfId="1" applyNumberFormat="1" applyFont="1" applyFill="1"/>
  </cellXfs>
  <cellStyles count="5">
    <cellStyle name="Hipervínculo" xfId="3" builtinId="8"/>
    <cellStyle name="Millares" xfId="1" builtinId="3"/>
    <cellStyle name="Moneda" xfId="2" builtinId="4"/>
    <cellStyle name="Normal" xfId="0" builtinId="0"/>
    <cellStyle name="Porcentaje" xfId="4" builtinId="5"/>
  </cellStyles>
  <dxfs count="0"/>
  <tableStyles count="0" defaultTableStyle="TableStyleMedium2" defaultPivotStyle="PivotStyleLight16"/>
  <colors>
    <mruColors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295275</xdr:colOff>
      <xdr:row>20</xdr:row>
      <xdr:rowOff>185737</xdr:rowOff>
    </xdr:from>
    <xdr:ext cx="34956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0782F6A-A3D9-DE0C-D439-A78BCBFF7AD9}"/>
                </a:ext>
              </a:extLst>
            </xdr:cNvPr>
            <xdr:cNvSpPr txBox="1"/>
          </xdr:nvSpPr>
          <xdr:spPr>
            <a:xfrm>
              <a:off x="295275" y="456723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0782F6A-A3D9-DE0C-D439-A78BCBFF7AD9}"/>
                </a:ext>
              </a:extLst>
            </xdr:cNvPr>
            <xdr:cNvSpPr txBox="1"/>
          </xdr:nvSpPr>
          <xdr:spPr>
            <a:xfrm>
              <a:off x="295275" y="405288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𝑉𝑃_𝑅𝑈=𝑅×[(1−〖(1+𝑡%)〗^(−𝑛𝑝𝑒𝑟))/(𝑡%)]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114300</xdr:colOff>
      <xdr:row>24</xdr:row>
      <xdr:rowOff>71437</xdr:rowOff>
    </xdr:from>
    <xdr:ext cx="2314575" cy="5311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BC8471F-BD70-49AC-8F73-1F26DF0A2288}"/>
                </a:ext>
              </a:extLst>
            </xdr:cNvPr>
            <xdr:cNvSpPr txBox="1"/>
          </xdr:nvSpPr>
          <xdr:spPr>
            <a:xfrm>
              <a:off x="114300" y="5291137"/>
              <a:ext cx="2314575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BC8471F-BD70-49AC-8F73-1F26DF0A2288}"/>
                </a:ext>
              </a:extLst>
            </xdr:cNvPr>
            <xdr:cNvSpPr txBox="1"/>
          </xdr:nvSpPr>
          <xdr:spPr>
            <a:xfrm>
              <a:off x="114300" y="4776787"/>
              <a:ext cx="2314575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𝑉𝑃_(𝑅𝑈_𝑃𝑒𝑟𝑝)=[𝑅/(𝑡%)]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0</xdr:colOff>
      <xdr:row>21</xdr:row>
      <xdr:rowOff>0</xdr:rowOff>
    </xdr:from>
    <xdr:ext cx="34956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EC39E88-6C36-4517-B18B-C12BEB07FD1C}"/>
                </a:ext>
              </a:extLst>
            </xdr:cNvPr>
            <xdr:cNvSpPr txBox="1"/>
          </xdr:nvSpPr>
          <xdr:spPr>
            <a:xfrm>
              <a:off x="10382250" y="4629150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5EC39E88-6C36-4517-B18B-C12BEB07FD1C}"/>
                </a:ext>
              </a:extLst>
            </xdr:cNvPr>
            <xdr:cNvSpPr txBox="1"/>
          </xdr:nvSpPr>
          <xdr:spPr>
            <a:xfrm>
              <a:off x="4391025" y="4076700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𝑉𝐹_𝑅𝑈=𝑅×[(〖(1+𝑡%)〗^𝑛𝑝𝑒𝑟−1)/(𝑡%)]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285750</xdr:colOff>
      <xdr:row>39</xdr:row>
      <xdr:rowOff>104775</xdr:rowOff>
    </xdr:from>
    <xdr:ext cx="3495675" cy="880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0A02F97-DF02-4861-8F5F-9F0B0073899E}"/>
                </a:ext>
              </a:extLst>
            </xdr:cNvPr>
            <xdr:cNvSpPr txBox="1"/>
          </xdr:nvSpPr>
          <xdr:spPr>
            <a:xfrm>
              <a:off x="285750" y="8639175"/>
              <a:ext cx="3495675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begChr m:val="["/>
                                    <m:endChr m:val="]"/>
                                    <m:ctrlPr>
                                      <a:rPr lang="es-ES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𝑔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num>
                                      <m:den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𝑡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den>
                                    </m:f>
                                  </m:e>
                                </m:d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%−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0A02F97-DF02-4861-8F5F-9F0B0073899E}"/>
                </a:ext>
              </a:extLst>
            </xdr:cNvPr>
            <xdr:cNvSpPr txBox="1"/>
          </xdr:nvSpPr>
          <xdr:spPr>
            <a:xfrm>
              <a:off x="285750" y="8639175"/>
              <a:ext cx="3495675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𝑉𝑃_𝑅𝐺𝐺=𝑅_1×[(1−[(1+𝑔%)/(1+𝑡%)]^𝑛𝑝𝑒𝑟)/(𝑡%−𝑔%)]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167368</xdr:colOff>
      <xdr:row>59</xdr:row>
      <xdr:rowOff>189139</xdr:rowOff>
    </xdr:from>
    <xdr:ext cx="3067050" cy="5311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B19C893F-E8A4-4160-B7CC-25EE0F74DE2B}"/>
                </a:ext>
              </a:extLst>
            </xdr:cNvPr>
            <xdr:cNvSpPr txBox="1"/>
          </xdr:nvSpPr>
          <xdr:spPr>
            <a:xfrm>
              <a:off x="167368" y="12914539"/>
              <a:ext cx="3067050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+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𝐺</m:t>
                            </m:r>
                          </m:num>
                          <m:den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B19C893F-E8A4-4160-B7CC-25EE0F74DE2B}"/>
                </a:ext>
              </a:extLst>
            </xdr:cNvPr>
            <xdr:cNvSpPr txBox="1"/>
          </xdr:nvSpPr>
          <xdr:spPr>
            <a:xfrm>
              <a:off x="167368" y="12914539"/>
              <a:ext cx="3067050" cy="5311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𝑉𝑃_(𝑅𝐺𝐴_𝑃𝑒𝑟𝑝)=[𝑅_1/(𝑡%)]+[𝐺/〖𝑡%〗^2 ]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152401</xdr:colOff>
      <xdr:row>46</xdr:row>
      <xdr:rowOff>200025</xdr:rowOff>
    </xdr:from>
    <xdr:ext cx="2838450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3F30822C-9DEB-49F6-87BD-1FB8527753FB}"/>
                </a:ext>
              </a:extLst>
            </xdr:cNvPr>
            <xdr:cNvSpPr txBox="1"/>
          </xdr:nvSpPr>
          <xdr:spPr>
            <a:xfrm>
              <a:off x="152401" y="10201275"/>
              <a:ext cx="28384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%−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3F30822C-9DEB-49F6-87BD-1FB8527753FB}"/>
                </a:ext>
              </a:extLst>
            </xdr:cNvPr>
            <xdr:cNvSpPr txBox="1"/>
          </xdr:nvSpPr>
          <xdr:spPr>
            <a:xfrm>
              <a:off x="152401" y="10201275"/>
              <a:ext cx="28384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𝑉𝑃_(𝑅𝐺𝐺_𝑃𝑒𝑟𝑝)=[𝑅_1/(𝑡%−𝑔%)]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0</xdr:col>
      <xdr:colOff>57150</xdr:colOff>
      <xdr:row>53</xdr:row>
      <xdr:rowOff>200025</xdr:rowOff>
    </xdr:from>
    <xdr:ext cx="8286750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0A48D01-E241-42F9-A6D1-7AECC68CE652}"/>
                </a:ext>
              </a:extLst>
            </xdr:cNvPr>
            <xdr:cNvSpPr txBox="1"/>
          </xdr:nvSpPr>
          <xdr:spPr>
            <a:xfrm>
              <a:off x="57150" y="11668125"/>
              <a:ext cx="82867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𝐺</m:t>
                        </m:r>
                      </m:num>
                      <m:den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</m:t>
                        </m:r>
                      </m:den>
                    </m:f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−</m:t>
                        </m:r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𝑛𝑝𝑒𝑟</m:t>
                            </m:r>
                          </m:num>
                          <m:den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0A48D01-E241-42F9-A6D1-7AECC68CE652}"/>
                </a:ext>
              </a:extLst>
            </xdr:cNvPr>
            <xdr:cNvSpPr txBox="1"/>
          </xdr:nvSpPr>
          <xdr:spPr>
            <a:xfrm>
              <a:off x="57150" y="10591800"/>
              <a:ext cx="8286750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𝑉𝑃_𝑅𝐺𝐴=𝑅×[(1−〖(1+𝑡%)〗^(−𝑛𝑝𝑒𝑟))/(𝑡%)]+𝐺/(𝑡%)×[(1−〖(1+𝑡%)〗^(−𝑛𝑝𝑒𝑟))/(𝑡%)−𝑛𝑝𝑒𝑟/〖(1+𝑡%)〗^𝑛𝑝𝑒𝑟 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85725</xdr:colOff>
      <xdr:row>39</xdr:row>
      <xdr:rowOff>76200</xdr:rowOff>
    </xdr:from>
    <xdr:ext cx="5048250" cy="880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D88A2EC1-CF1C-40D9-9266-FB6F74E1C681}"/>
                </a:ext>
              </a:extLst>
            </xdr:cNvPr>
            <xdr:cNvSpPr txBox="1"/>
          </xdr:nvSpPr>
          <xdr:spPr>
            <a:xfrm>
              <a:off x="10086975" y="8610600"/>
              <a:ext cx="5048250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1−</m:t>
                            </m:r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begChr m:val="["/>
                                    <m:endChr m:val="]"/>
                                    <m:ctrlPr>
                                      <a:rPr lang="es-ES" sz="18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𝑔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num>
                                      <m:den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1+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𝑡</m:t>
                                        </m:r>
                                        <m:r>
                                          <a:rPr lang="es-ES" sz="1800" b="0" i="1">
                                            <a:latin typeface="Cambria Math" panose="02040503050406030204" pitchFamily="18" charset="0"/>
                                          </a:rPr>
                                          <m:t>%</m:t>
                                        </m:r>
                                      </m:den>
                                    </m:f>
                                  </m:e>
                                </m:d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%−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(1+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%)</m:t>
                        </m:r>
                      </m:e>
                      <m:sup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𝑛𝑝𝑒𝑟</m:t>
                        </m:r>
                      </m:sup>
                    </m:sSup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D88A2EC1-CF1C-40D9-9266-FB6F74E1C681}"/>
                </a:ext>
              </a:extLst>
            </xdr:cNvPr>
            <xdr:cNvSpPr txBox="1"/>
          </xdr:nvSpPr>
          <xdr:spPr>
            <a:xfrm>
              <a:off x="6210300" y="7324725"/>
              <a:ext cx="5048250" cy="880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𝑉𝐹_𝑅𝐺𝐺=𝑅×[(1−[(1+𝑔%)/(1+𝑡%)]^𝑛𝑝𝑒𝑟)/(𝑡%−𝑔%)]×〖(1+𝑡%)〗^𝑛𝑝𝑒𝑟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10</xdr:col>
      <xdr:colOff>523875</xdr:colOff>
      <xdr:row>53</xdr:row>
      <xdr:rowOff>0</xdr:rowOff>
    </xdr:from>
    <xdr:ext cx="69627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3BCF62C1-5115-4A54-8C64-4488B45C2CEF}"/>
                </a:ext>
              </a:extLst>
            </xdr:cNvPr>
            <xdr:cNvSpPr txBox="1"/>
          </xdr:nvSpPr>
          <xdr:spPr>
            <a:xfrm>
              <a:off x="9915525" y="11468100"/>
              <a:ext cx="69627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𝑅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</m:e>
                    </m:d>
                    <m:r>
                      <a:rPr lang="es-ES" sz="18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𝐺</m:t>
                        </m:r>
                      </m:num>
                      <m:den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</m:t>
                        </m:r>
                      </m:den>
                    </m:f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(1+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%)</m:t>
                                </m:r>
                              </m:e>
                              <m:sup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𝑛𝑝𝑒𝑟</m:t>
                                </m:r>
                              </m:sup>
                            </m:sSup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</m:t>
                            </m:r>
                          </m:den>
                        </m:f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𝑛𝑝𝑒𝑟</m:t>
                        </m:r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3BCF62C1-5115-4A54-8C64-4488B45C2CEF}"/>
                </a:ext>
              </a:extLst>
            </xdr:cNvPr>
            <xdr:cNvSpPr txBox="1"/>
          </xdr:nvSpPr>
          <xdr:spPr>
            <a:xfrm>
              <a:off x="9115425" y="10391775"/>
              <a:ext cx="69627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𝑉𝐹_𝑅𝐺𝐴=𝑅×[(〖(1+𝑡%)〗^𝑛𝑝𝑒𝑟−1)/(𝑡%)]+𝐺/(𝑡%)×[(〖(1+𝑡%)〗^𝑛𝑝𝑒𝑟−1)/(𝑡%)−𝑛𝑝𝑒𝑟]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11</xdr:col>
      <xdr:colOff>0</xdr:colOff>
      <xdr:row>24</xdr:row>
      <xdr:rowOff>171450</xdr:rowOff>
    </xdr:from>
    <xdr:ext cx="2314575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59D51616-E049-4EF3-BBEA-41DF5292AD33}"/>
                </a:ext>
              </a:extLst>
            </xdr:cNvPr>
            <xdr:cNvSpPr txBox="1"/>
          </xdr:nvSpPr>
          <xdr:spPr>
            <a:xfrm>
              <a:off x="10382250" y="5429250"/>
              <a:ext cx="2314575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𝑅𝑈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59D51616-E049-4EF3-BBEA-41DF5292AD33}"/>
                </a:ext>
              </a:extLst>
            </xdr:cNvPr>
            <xdr:cNvSpPr txBox="1"/>
          </xdr:nvSpPr>
          <xdr:spPr>
            <a:xfrm>
              <a:off x="6086475" y="4876800"/>
              <a:ext cx="2314575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ES" sz="1800" b="0" i="0">
                  <a:latin typeface="Cambria Math" panose="02040503050406030204" pitchFamily="18" charset="0"/>
                </a:rPr>
                <a:t>𝑉𝐹_(𝑅𝑈_𝑃𝑒𝑟𝑝)=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10</xdr:col>
      <xdr:colOff>152400</xdr:colOff>
      <xdr:row>47</xdr:row>
      <xdr:rowOff>133350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24848CF-9D4A-4991-8EF0-FEB9F98AA1DE}"/>
                </a:ext>
              </a:extLst>
            </xdr:cNvPr>
            <xdr:cNvSpPr txBox="1"/>
          </xdr:nvSpPr>
          <xdr:spPr>
            <a:xfrm>
              <a:off x="9544050" y="103441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524848CF-9D4A-4991-8EF0-FEB9F98AA1DE}"/>
                </a:ext>
              </a:extLst>
            </xdr:cNvPr>
            <xdr:cNvSpPr txBox="1"/>
          </xdr:nvSpPr>
          <xdr:spPr>
            <a:xfrm>
              <a:off x="9544050" y="103441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𝑉𝐹_(𝑅𝐺𝐺_𝑃𝑒𝑟𝑝)=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10</xdr:col>
      <xdr:colOff>209550</xdr:colOff>
      <xdr:row>60</xdr:row>
      <xdr:rowOff>9525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C85E7A67-35BD-4A6C-B6CA-8E893A5C36A9}"/>
                </a:ext>
              </a:extLst>
            </xdr:cNvPr>
            <xdr:cNvSpPr txBox="1"/>
          </xdr:nvSpPr>
          <xdr:spPr>
            <a:xfrm>
              <a:off x="9601200" y="12944475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𝑅𝐺𝐴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C85E7A67-35BD-4A6C-B6CA-8E893A5C36A9}"/>
                </a:ext>
              </a:extLst>
            </xdr:cNvPr>
            <xdr:cNvSpPr txBox="1"/>
          </xdr:nvSpPr>
          <xdr:spPr>
            <a:xfrm>
              <a:off x="9601200" y="12944475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𝑉𝐹_(𝑅𝐺𝐴_𝑃𝑒𝑟𝑝)=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4</xdr:col>
      <xdr:colOff>707571</xdr:colOff>
      <xdr:row>40</xdr:row>
      <xdr:rowOff>13607</xdr:rowOff>
    </xdr:from>
    <xdr:ext cx="3495675" cy="616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84557026-0D5A-47E0-994C-60BA543658A7}"/>
                </a:ext>
              </a:extLst>
            </xdr:cNvPr>
            <xdr:cNvSpPr txBox="1"/>
          </xdr:nvSpPr>
          <xdr:spPr>
            <a:xfrm>
              <a:off x="4250871" y="875755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S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𝑛𝑝𝑒𝑟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×</m:t>
                            </m:r>
                            <m:sSub>
                              <m:sSubPr>
                                <m:ctrlP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s-ES" sz="18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(1+ 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  <m:r>
                              <a:rPr lang="es-ES" sz="1800" b="0" i="1">
                                <a:latin typeface="Cambria Math" panose="02040503050406030204" pitchFamily="18" charset="0"/>
                              </a:rPr>
                              <m:t>%)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84557026-0D5A-47E0-994C-60BA543658A7}"/>
                </a:ext>
              </a:extLst>
            </xdr:cNvPr>
            <xdr:cNvSpPr txBox="1"/>
          </xdr:nvSpPr>
          <xdr:spPr>
            <a:xfrm>
              <a:off x="4250871" y="8757557"/>
              <a:ext cx="3495675" cy="616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𝑉𝑃_𝑅𝐺𝐺=[(𝑛𝑝𝑒𝑟×𝑅_1)/((1+ 𝑡%))]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4</xdr:col>
      <xdr:colOff>862695</xdr:colOff>
      <xdr:row>47</xdr:row>
      <xdr:rowOff>107496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3D0ED115-183C-429B-851D-C940AAE523DA}"/>
                </a:ext>
              </a:extLst>
            </xdr:cNvPr>
            <xdr:cNvSpPr txBox="1"/>
          </xdr:nvSpPr>
          <xdr:spPr>
            <a:xfrm>
              <a:off x="4405995" y="10318296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3D0ED115-183C-429B-851D-C940AAE523DA}"/>
                </a:ext>
              </a:extLst>
            </xdr:cNvPr>
            <xdr:cNvSpPr txBox="1"/>
          </xdr:nvSpPr>
          <xdr:spPr>
            <a:xfrm>
              <a:off x="4405995" y="10318296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𝑉𝑃_(𝑅𝐺𝐺_𝑃𝑒𝑟𝑝)=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18</xdr:col>
      <xdr:colOff>533400</xdr:colOff>
      <xdr:row>40</xdr:row>
      <xdr:rowOff>95250</xdr:rowOff>
    </xdr:from>
    <xdr:ext cx="4095750" cy="2991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F0405C28-9DAA-4AC5-A1AC-84ACF67E32F4}"/>
                </a:ext>
              </a:extLst>
            </xdr:cNvPr>
            <xdr:cNvSpPr txBox="1"/>
          </xdr:nvSpPr>
          <xdr:spPr>
            <a:xfrm>
              <a:off x="15411450" y="8839200"/>
              <a:ext cx="4095750" cy="299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𝑛𝑝𝑒𝑟</m:t>
                    </m:r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(1+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%)</m:t>
                        </m:r>
                      </m:e>
                      <m:sup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𝑛𝑝𝑒𝑟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−1)</m:t>
                        </m:r>
                      </m:sup>
                    </m:sSup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F0405C28-9DAA-4AC5-A1AC-84ACF67E32F4}"/>
                </a:ext>
              </a:extLst>
            </xdr:cNvPr>
            <xdr:cNvSpPr txBox="1"/>
          </xdr:nvSpPr>
          <xdr:spPr>
            <a:xfrm>
              <a:off x="15411450" y="8839200"/>
              <a:ext cx="4095750" cy="2991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𝑉𝐹_𝑅𝐺𝐺=𝑛𝑝𝑒𝑟×𝑅_1×〖(1+𝑡%)〗^((𝑛𝑝𝑒𝑟−1))</a:t>
              </a:r>
              <a:endParaRPr lang="en-US" sz="1800"/>
            </a:p>
          </xdr:txBody>
        </xdr:sp>
      </mc:Fallback>
    </mc:AlternateContent>
    <xdr:clientData/>
  </xdr:oneCellAnchor>
  <xdr:oneCellAnchor>
    <xdr:from>
      <xdr:col>18</xdr:col>
      <xdr:colOff>114300</xdr:colOff>
      <xdr:row>47</xdr:row>
      <xdr:rowOff>95250</xdr:rowOff>
    </xdr:from>
    <xdr:ext cx="2838450" cy="2988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C7816864-71DA-4ECE-ACF3-535432065D86}"/>
                </a:ext>
              </a:extLst>
            </xdr:cNvPr>
            <xdr:cNvSpPr txBox="1"/>
          </xdr:nvSpPr>
          <xdr:spPr>
            <a:xfrm>
              <a:off x="14992350" y="103060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800" b="0" i="1">
                        <a:latin typeface="Cambria Math" panose="02040503050406030204" pitchFamily="18" charset="0"/>
                      </a:rPr>
                      <m:t>𝑉</m:t>
                    </m:r>
                    <m:sSub>
                      <m:sSubPr>
                        <m:ctrlPr>
                          <a:rPr lang="es-E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𝑅𝐺𝐺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_</m:t>
                        </m:r>
                        <m:r>
                          <a:rPr lang="es-ES" sz="1800" b="0" i="1">
                            <a:latin typeface="Cambria Math" panose="02040503050406030204" pitchFamily="18" charset="0"/>
                          </a:rPr>
                          <m:t>𝑃𝑒𝑟𝑝</m:t>
                        </m:r>
                      </m:sub>
                    </m:sSub>
                    <m:r>
                      <a:rPr lang="es-ES" sz="18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S" sz="18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∞</m:t>
                    </m:r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C7816864-71DA-4ECE-ACF3-535432065D86}"/>
                </a:ext>
              </a:extLst>
            </xdr:cNvPr>
            <xdr:cNvSpPr txBox="1"/>
          </xdr:nvSpPr>
          <xdr:spPr>
            <a:xfrm>
              <a:off x="14992350" y="10306050"/>
              <a:ext cx="2838450" cy="2988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800" b="0" i="0">
                  <a:latin typeface="Cambria Math" panose="02040503050406030204" pitchFamily="18" charset="0"/>
                </a:rPr>
                <a:t>𝑉𝐹_(𝑅𝐺𝐺_𝑃𝑒𝑟𝑝)=</a:t>
              </a:r>
              <a:r>
                <a:rPr lang="es-E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</a:t>
              </a:r>
              <a:endParaRPr lang="en-US" sz="18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alfonso@inkapitales.com" TargetMode="External"/><Relationship Id="rId7" Type="http://schemas.openxmlformats.org/officeDocument/2006/relationships/comments" Target="../comments1.xml"/><Relationship Id="rId2" Type="http://schemas.openxmlformats.org/officeDocument/2006/relationships/hyperlink" Target="mailto:achangm@uni.edu.pe" TargetMode="External"/><Relationship Id="rId1" Type="http://schemas.openxmlformats.org/officeDocument/2006/relationships/hyperlink" Target="mailto:pcafacha@upc.edu.pe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77B5-1E66-408F-8311-05C9F11A6ACF}">
  <sheetPr codeName="Mate_Finan1"/>
  <dimension ref="A1:AA113"/>
  <sheetViews>
    <sheetView showGridLines="0" zoomScaleNormal="100" workbookViewId="0">
      <pane ySplit="2" topLeftCell="A3" activePane="bottomLeft" state="frozen"/>
      <selection pane="bottomLeft" activeCell="B101" sqref="B101"/>
    </sheetView>
  </sheetViews>
  <sheetFormatPr baseColWidth="10" defaultColWidth="0" defaultRowHeight="14.4" x14ac:dyDescent="0.3"/>
  <cols>
    <col min="1" max="1" width="5" style="1" customWidth="1"/>
    <col min="2" max="2" width="18" style="1" bestFit="1" customWidth="1"/>
    <col min="3" max="3" width="15.88671875" style="1" customWidth="1"/>
    <col min="4" max="4" width="14" style="1" customWidth="1"/>
    <col min="5" max="5" width="14.109375" style="1" customWidth="1"/>
    <col min="6" max="6" width="21" style="1" bestFit="1" customWidth="1"/>
    <col min="7" max="7" width="16.109375" style="1" customWidth="1"/>
    <col min="8" max="8" width="17.33203125" style="1" bestFit="1" customWidth="1"/>
    <col min="9" max="9" width="15.88671875" style="1" customWidth="1"/>
    <col min="10" max="10" width="15" style="1" customWidth="1"/>
    <col min="11" max="12" width="9.109375" style="1" customWidth="1"/>
    <col min="13" max="13" width="15.33203125" style="1" customWidth="1"/>
    <col min="14" max="14" width="11.88671875" style="1" customWidth="1"/>
    <col min="15" max="26" width="9.109375" style="1" customWidth="1"/>
    <col min="27" max="27" width="0" style="1" hidden="1" customWidth="1"/>
    <col min="28" max="16384" width="9.109375" style="1" hidden="1"/>
  </cols>
  <sheetData>
    <row r="1" spans="1:19" ht="23.4" x14ac:dyDescent="0.45">
      <c r="A1" s="18" t="s">
        <v>24</v>
      </c>
      <c r="O1" s="2" t="s">
        <v>23</v>
      </c>
      <c r="S1" s="3" t="s">
        <v>59</v>
      </c>
    </row>
    <row r="2" spans="1:19" s="5" customFormat="1" ht="18" x14ac:dyDescent="0.35">
      <c r="A2" s="4" t="s">
        <v>61</v>
      </c>
      <c r="O2" s="6">
        <v>2024</v>
      </c>
      <c r="S2" s="3" t="s">
        <v>25</v>
      </c>
    </row>
    <row r="3" spans="1:19" s="5" customFormat="1" ht="18" x14ac:dyDescent="0.35">
      <c r="L3" s="3"/>
      <c r="S3" s="3" t="s">
        <v>18</v>
      </c>
    </row>
    <row r="4" spans="1:19" s="5" customFormat="1" ht="18" x14ac:dyDescent="0.35">
      <c r="A4" s="9" t="s">
        <v>44</v>
      </c>
      <c r="L4" s="3"/>
    </row>
    <row r="5" spans="1:19" s="5" customFormat="1" ht="18" x14ac:dyDescent="0.35">
      <c r="L5" s="3"/>
    </row>
    <row r="6" spans="1:19" s="7" customFormat="1" ht="16.5" x14ac:dyDescent="0.3">
      <c r="B6" s="7" t="s">
        <v>0</v>
      </c>
    </row>
    <row r="8" spans="1:19" ht="16.5" x14ac:dyDescent="0.3">
      <c r="B8" s="1" t="s">
        <v>19</v>
      </c>
      <c r="C8" s="19">
        <v>0.15</v>
      </c>
    </row>
    <row r="9" spans="1:19" ht="16.5" x14ac:dyDescent="0.3">
      <c r="B9" s="1" t="s">
        <v>1</v>
      </c>
      <c r="C9" s="20">
        <v>10</v>
      </c>
    </row>
    <row r="10" spans="1:19" ht="16.5" x14ac:dyDescent="0.3">
      <c r="B10" s="1" t="s">
        <v>20</v>
      </c>
      <c r="C10" s="21">
        <v>100</v>
      </c>
    </row>
    <row r="11" spans="1:19" ht="16.5" x14ac:dyDescent="0.3">
      <c r="B11" s="1" t="s">
        <v>2</v>
      </c>
      <c r="C11" s="22">
        <v>0.1</v>
      </c>
    </row>
    <row r="12" spans="1:19" ht="16.5" x14ac:dyDescent="0.3">
      <c r="B12" s="1" t="s">
        <v>3</v>
      </c>
      <c r="C12" s="23">
        <v>15</v>
      </c>
    </row>
    <row r="13" spans="1:19" ht="16.5" x14ac:dyDescent="0.3">
      <c r="G13" s="49"/>
    </row>
    <row r="14" spans="1:19" ht="16.5" x14ac:dyDescent="0.3">
      <c r="J14" s="8"/>
    </row>
    <row r="15" spans="1:19" s="9" customFormat="1" ht="18.75" x14ac:dyDescent="0.3">
      <c r="B15" s="9" t="s">
        <v>4</v>
      </c>
      <c r="H15" s="32"/>
      <c r="J15" s="8"/>
      <c r="L15" s="9" t="s">
        <v>5</v>
      </c>
    </row>
    <row r="16" spans="1:19" ht="16.5" x14ac:dyDescent="0.3">
      <c r="H16" s="17"/>
      <c r="I16" s="10"/>
      <c r="J16" s="8"/>
    </row>
    <row r="17" spans="1:14" s="10" customFormat="1" ht="16.5" x14ac:dyDescent="0.3">
      <c r="C17" s="11" t="s">
        <v>6</v>
      </c>
      <c r="D17" s="12" t="s">
        <v>7</v>
      </c>
      <c r="H17" s="31"/>
      <c r="J17" s="8"/>
      <c r="M17" s="11" t="s">
        <v>6</v>
      </c>
      <c r="N17" s="12" t="s">
        <v>7</v>
      </c>
    </row>
    <row r="18" spans="1:14" s="10" customFormat="1" ht="16.5" x14ac:dyDescent="0.3">
      <c r="C18" s="13" t="s">
        <v>8</v>
      </c>
      <c r="D18" s="13"/>
      <c r="H18" s="31"/>
      <c r="J18" s="8"/>
      <c r="M18" s="13" t="s">
        <v>8</v>
      </c>
      <c r="N18" s="13"/>
    </row>
    <row r="19" spans="1:14" ht="16.5" x14ac:dyDescent="0.3">
      <c r="B19" s="14" t="s">
        <v>9</v>
      </c>
      <c r="C19" s="24">
        <f>PV(C8, C9, -C10)</f>
        <v>501.87686258542283</v>
      </c>
      <c r="D19" s="25">
        <f>C10 / C8</f>
        <v>666.66666666666674</v>
      </c>
      <c r="H19" s="17"/>
      <c r="J19" s="8"/>
      <c r="L19" s="14" t="s">
        <v>10</v>
      </c>
      <c r="M19" s="24">
        <f>FV(C8,C9,-C10)</f>
        <v>2030.3718238052713</v>
      </c>
      <c r="N19" s="26" t="s">
        <v>11</v>
      </c>
    </row>
    <row r="20" spans="1:14" ht="16.5" x14ac:dyDescent="0.3">
      <c r="H20" s="17"/>
      <c r="J20" s="8"/>
    </row>
    <row r="21" spans="1:14" ht="16.5" x14ac:dyDescent="0.3">
      <c r="H21" s="17"/>
      <c r="J21" s="8"/>
    </row>
    <row r="22" spans="1:14" ht="16.5" x14ac:dyDescent="0.3">
      <c r="H22" s="17"/>
      <c r="J22" s="8"/>
    </row>
    <row r="23" spans="1:14" ht="16.5" x14ac:dyDescent="0.3">
      <c r="H23" s="17"/>
      <c r="J23" s="8"/>
    </row>
    <row r="24" spans="1:14" ht="16.5" x14ac:dyDescent="0.3">
      <c r="H24" s="17"/>
      <c r="J24" s="8"/>
    </row>
    <row r="25" spans="1:14" ht="16.5" x14ac:dyDescent="0.3">
      <c r="H25" s="17"/>
      <c r="J25" s="8"/>
    </row>
    <row r="26" spans="1:14" ht="16.5" x14ac:dyDescent="0.3">
      <c r="J26" s="8"/>
    </row>
    <row r="27" spans="1:14" ht="16.5" x14ac:dyDescent="0.3">
      <c r="J27" s="8"/>
    </row>
    <row r="29" spans="1:14" ht="18" x14ac:dyDescent="0.35">
      <c r="A29" s="9" t="s">
        <v>45</v>
      </c>
    </row>
    <row r="30" spans="1:14" ht="18.75" x14ac:dyDescent="0.3">
      <c r="A30" s="9"/>
    </row>
    <row r="31" spans="1:14" s="9" customFormat="1" ht="18.75" x14ac:dyDescent="0.3">
      <c r="B31" s="9" t="s">
        <v>12</v>
      </c>
      <c r="J31" s="8"/>
      <c r="L31" s="9" t="s">
        <v>13</v>
      </c>
    </row>
    <row r="32" spans="1:14" ht="16.5" x14ac:dyDescent="0.3">
      <c r="J32" s="8"/>
    </row>
    <row r="33" spans="2:20" s="7" customFormat="1" ht="16.5" x14ac:dyDescent="0.3">
      <c r="C33" s="11" t="s">
        <v>6</v>
      </c>
      <c r="D33" s="12" t="s">
        <v>7</v>
      </c>
      <c r="J33" s="8"/>
      <c r="M33" s="11" t="s">
        <v>6</v>
      </c>
      <c r="N33" s="12" t="s">
        <v>7</v>
      </c>
    </row>
    <row r="34" spans="2:20" s="7" customFormat="1" ht="16.5" x14ac:dyDescent="0.3">
      <c r="C34" s="13" t="s">
        <v>8</v>
      </c>
      <c r="D34" s="13"/>
      <c r="J34" s="8"/>
      <c r="M34" s="13" t="s">
        <v>8</v>
      </c>
      <c r="N34" s="13"/>
    </row>
    <row r="35" spans="2:20" ht="16.5" x14ac:dyDescent="0.3">
      <c r="B35" s="15" t="s">
        <v>14</v>
      </c>
      <c r="C35" s="24" cm="1">
        <f t="array" ref="C35">PV_RGG(C8,C9,C10,C11)</f>
        <v>717.73306448875314</v>
      </c>
      <c r="D35" s="27" cm="1">
        <f t="array" ref="D35">PV_RGG_cPER(C8,C10,C11)</f>
        <v>2000.0000000000005</v>
      </c>
      <c r="J35" s="8"/>
      <c r="L35" s="15" t="s">
        <v>15</v>
      </c>
      <c r="M35" s="24" cm="1">
        <f t="array" ref="M35">FV_RGG(C8,C9,C10,C11)</f>
        <v>2903.6305512158169</v>
      </c>
      <c r="N35" s="26" t="s">
        <v>11</v>
      </c>
    </row>
    <row r="36" spans="2:20" ht="17.25" thickBot="1" x14ac:dyDescent="0.35">
      <c r="B36" s="15" t="s">
        <v>16</v>
      </c>
      <c r="C36" s="28" cm="1">
        <f t="array" ref="C36">PV_RGA(C8, C9, C10, C12)</f>
        <v>756.56901904897973</v>
      </c>
      <c r="D36" s="29" cm="1">
        <f t="array" ref="D36">PV_RGA_cPER(C8,C10,C12)</f>
        <v>1333.3333333333335</v>
      </c>
      <c r="J36" s="8"/>
      <c r="L36" s="15" t="s">
        <v>17</v>
      </c>
      <c r="M36" s="28" cm="1">
        <f t="array" ref="M36">FV_RGA(C8,C9,C10,C12)</f>
        <v>3060.7436476105422</v>
      </c>
      <c r="N36" s="30" t="s">
        <v>11</v>
      </c>
    </row>
    <row r="37" spans="2:20" ht="16.5" x14ac:dyDescent="0.3">
      <c r="C37" s="16"/>
    </row>
    <row r="38" spans="2:20" ht="16.5" x14ac:dyDescent="0.3">
      <c r="B38" s="41" t="s">
        <v>36</v>
      </c>
      <c r="C38" s="16"/>
      <c r="L38" s="41" t="s">
        <v>40</v>
      </c>
      <c r="M38" s="16"/>
    </row>
    <row r="39" spans="2:20" ht="16.5" x14ac:dyDescent="0.3">
      <c r="B39" s="1" t="s">
        <v>34</v>
      </c>
      <c r="C39" s="16"/>
      <c r="F39" s="1" t="s">
        <v>35</v>
      </c>
      <c r="L39" s="1" t="s">
        <v>34</v>
      </c>
      <c r="M39" s="16"/>
    </row>
    <row r="40" spans="2:20" ht="16.5" x14ac:dyDescent="0.3">
      <c r="C40" s="16"/>
      <c r="J40" s="17"/>
      <c r="K40" s="17"/>
      <c r="L40" s="17"/>
      <c r="T40" s="1" t="s">
        <v>35</v>
      </c>
    </row>
    <row r="41" spans="2:20" ht="16.5" x14ac:dyDescent="0.3">
      <c r="C41" s="16"/>
      <c r="J41" s="8"/>
    </row>
    <row r="42" spans="2:20" ht="16.5" x14ac:dyDescent="0.3">
      <c r="J42" s="8"/>
    </row>
    <row r="43" spans="2:20" ht="16.5" x14ac:dyDescent="0.3">
      <c r="J43" s="8"/>
    </row>
    <row r="44" spans="2:20" ht="16.5" x14ac:dyDescent="0.3">
      <c r="J44" s="8"/>
    </row>
    <row r="45" spans="2:20" ht="16.5" x14ac:dyDescent="0.3">
      <c r="J45" s="8"/>
    </row>
    <row r="46" spans="2:20" ht="16.5" x14ac:dyDescent="0.3">
      <c r="B46" s="41" t="s">
        <v>37</v>
      </c>
      <c r="J46" s="8"/>
      <c r="L46" s="41" t="s">
        <v>41</v>
      </c>
    </row>
    <row r="47" spans="2:20" ht="16.5" x14ac:dyDescent="0.3">
      <c r="B47" s="1" t="s">
        <v>21</v>
      </c>
      <c r="F47" s="1" t="s">
        <v>22</v>
      </c>
      <c r="J47" s="8"/>
      <c r="L47" s="1" t="s">
        <v>21</v>
      </c>
      <c r="T47" s="1" t="s">
        <v>35</v>
      </c>
    </row>
    <row r="48" spans="2:20" ht="16.5" x14ac:dyDescent="0.3">
      <c r="J48" s="8"/>
    </row>
    <row r="49" spans="2:12" ht="16.5" x14ac:dyDescent="0.3">
      <c r="J49" s="8"/>
    </row>
    <row r="50" spans="2:12" ht="16.5" x14ac:dyDescent="0.3">
      <c r="J50" s="8"/>
    </row>
    <row r="52" spans="2:12" ht="16.5" x14ac:dyDescent="0.3">
      <c r="L52" s="41" t="s">
        <v>42</v>
      </c>
    </row>
    <row r="53" spans="2:12" ht="16.5" x14ac:dyDescent="0.3">
      <c r="B53" s="41" t="s">
        <v>38</v>
      </c>
      <c r="J53" s="8"/>
    </row>
    <row r="54" spans="2:12" ht="16.5" x14ac:dyDescent="0.3">
      <c r="J54" s="8"/>
    </row>
    <row r="55" spans="2:12" ht="16.5" x14ac:dyDescent="0.3">
      <c r="J55" s="8"/>
    </row>
    <row r="56" spans="2:12" ht="16.5" x14ac:dyDescent="0.3">
      <c r="J56" s="8"/>
    </row>
    <row r="57" spans="2:12" ht="16.5" x14ac:dyDescent="0.3">
      <c r="J57" s="8"/>
    </row>
    <row r="58" spans="2:12" ht="16.5" x14ac:dyDescent="0.3">
      <c r="J58" s="8"/>
    </row>
    <row r="59" spans="2:12" ht="16.5" x14ac:dyDescent="0.3">
      <c r="B59" s="41" t="s">
        <v>39</v>
      </c>
      <c r="J59" s="8"/>
      <c r="L59" s="41" t="s">
        <v>43</v>
      </c>
    </row>
    <row r="60" spans="2:12" ht="16.5" x14ac:dyDescent="0.3">
      <c r="J60" s="8"/>
    </row>
    <row r="61" spans="2:12" ht="16.5" x14ac:dyDescent="0.3">
      <c r="J61" s="8"/>
    </row>
    <row r="62" spans="2:12" ht="16.5" x14ac:dyDescent="0.3">
      <c r="J62" s="8"/>
    </row>
    <row r="63" spans="2:12" ht="16.5" x14ac:dyDescent="0.3">
      <c r="J63" s="8"/>
    </row>
    <row r="65" spans="1:9" ht="18" x14ac:dyDescent="0.35">
      <c r="A65" s="9" t="s">
        <v>46</v>
      </c>
    </row>
    <row r="67" spans="1:9" ht="16.5" x14ac:dyDescent="0.3">
      <c r="B67" s="7" t="s">
        <v>0</v>
      </c>
      <c r="C67" s="7"/>
    </row>
    <row r="68" spans="1:9" ht="16.5" x14ac:dyDescent="0.3">
      <c r="B68" s="7"/>
      <c r="C68" s="7"/>
    </row>
    <row r="69" spans="1:9" ht="16.5" x14ac:dyDescent="0.3">
      <c r="C69" s="38" t="s">
        <v>29</v>
      </c>
      <c r="D69" s="38"/>
      <c r="E69" s="38"/>
      <c r="G69" s="38" t="s">
        <v>8</v>
      </c>
      <c r="H69" s="38"/>
      <c r="I69" s="38"/>
    </row>
    <row r="70" spans="1:9" ht="16.5" x14ac:dyDescent="0.3">
      <c r="C70" s="33" t="s">
        <v>28</v>
      </c>
      <c r="D70" s="33"/>
      <c r="E70" s="33" t="s">
        <v>27</v>
      </c>
      <c r="G70" s="33" t="s">
        <v>28</v>
      </c>
      <c r="H70" s="33"/>
      <c r="I70" s="33" t="s">
        <v>27</v>
      </c>
    </row>
    <row r="71" spans="1:9" ht="16.5" x14ac:dyDescent="0.3">
      <c r="B71" s="1" t="s">
        <v>19</v>
      </c>
      <c r="C71" s="43">
        <v>0.15</v>
      </c>
      <c r="E71" s="43">
        <v>0.15</v>
      </c>
      <c r="F71" s="34"/>
      <c r="G71" s="43">
        <v>0.15</v>
      </c>
      <c r="I71" s="43">
        <v>0.15</v>
      </c>
    </row>
    <row r="72" spans="1:9" ht="16.5" x14ac:dyDescent="0.3">
      <c r="B72" s="1" t="s">
        <v>1</v>
      </c>
      <c r="C72" s="35">
        <v>10</v>
      </c>
      <c r="E72" s="35">
        <v>10</v>
      </c>
      <c r="G72" s="36"/>
      <c r="I72" s="37"/>
    </row>
    <row r="73" spans="1:9" ht="16.5" x14ac:dyDescent="0.3">
      <c r="B73" s="1" t="s">
        <v>26</v>
      </c>
      <c r="C73" s="21">
        <v>717.73306850862275</v>
      </c>
      <c r="E73" s="21">
        <v>756.56901904897973</v>
      </c>
      <c r="G73" s="21">
        <v>2000.0000000000005</v>
      </c>
      <c r="I73" s="21">
        <v>1333.3333333333335</v>
      </c>
    </row>
    <row r="74" spans="1:9" ht="16.5" x14ac:dyDescent="0.3">
      <c r="B74" s="1" t="s">
        <v>2</v>
      </c>
      <c r="C74" s="22">
        <v>0.1</v>
      </c>
      <c r="E74" s="37"/>
      <c r="G74" s="22">
        <v>0.1</v>
      </c>
      <c r="I74" s="37"/>
    </row>
    <row r="75" spans="1:9" ht="16.5" x14ac:dyDescent="0.3">
      <c r="B75" s="1" t="s">
        <v>3</v>
      </c>
      <c r="C75" s="36"/>
      <c r="E75" s="23">
        <v>15</v>
      </c>
      <c r="G75" s="36"/>
      <c r="I75" s="23">
        <v>15</v>
      </c>
    </row>
    <row r="77" spans="1:9" ht="16.5" x14ac:dyDescent="0.3">
      <c r="B77" s="42" t="s">
        <v>31</v>
      </c>
      <c r="C77" s="24" cm="1">
        <f t="array" ref="C77">PMT_RGG(C71,C72,C73,C74)</f>
        <v>100.00000494769556</v>
      </c>
      <c r="D77" s="42" t="s">
        <v>30</v>
      </c>
      <c r="E77" s="24" cm="1">
        <f t="array" ref="E77">PMT_RGA(E71,E72,E73,E75)</f>
        <v>99.999996204451492</v>
      </c>
      <c r="F77" s="42" t="s">
        <v>47</v>
      </c>
      <c r="G77" s="24" cm="1">
        <f t="array" ref="G77">PMT_RGG_cPER(G71,G73,G74)</f>
        <v>99.999999999999972</v>
      </c>
      <c r="H77" s="42" t="s">
        <v>32</v>
      </c>
      <c r="I77" s="24" cm="1">
        <f t="array" ref="I77">PMT_RGA_cPER(I71,I73,I75)</f>
        <v>99.999994999999998</v>
      </c>
    </row>
    <row r="78" spans="1:9" ht="16.5" x14ac:dyDescent="0.3">
      <c r="B78" s="42" t="s">
        <v>31</v>
      </c>
      <c r="C78" s="24">
        <f xml:space="preserve"> C73 / ( ( 1 - ((1+C74)/(1+C71))^C72)/(C71 - C74))</f>
        <v>100.00000056007893</v>
      </c>
      <c r="D78" s="42" t="s">
        <v>30</v>
      </c>
      <c r="E78" s="24">
        <f xml:space="preserve"> (E73 - (E75 /E71) * ((1 - (1 + E71) ^ -E72) / E71 - E72 / (1 + E71) ^E72)) / ((1 - (1 +E71) ^ -E72) /E71)</f>
        <v>100.00000000000001</v>
      </c>
      <c r="F78" s="42" t="s">
        <v>47</v>
      </c>
      <c r="G78" s="24">
        <f>G73 * ( G71 - G74)</f>
        <v>100</v>
      </c>
      <c r="H78" s="42" t="s">
        <v>32</v>
      </c>
      <c r="I78" s="24">
        <f>( I73 - I75/I71^2 )* I71</f>
        <v>100.00000000000001</v>
      </c>
    </row>
    <row r="79" spans="1:9" ht="16.5" x14ac:dyDescent="0.3">
      <c r="B79" s="1" t="s">
        <v>33</v>
      </c>
      <c r="C79" s="40">
        <f>(C77-C78)/C77</f>
        <v>4.387616410268971E-8</v>
      </c>
      <c r="E79" s="40">
        <f>(E77-E78)/E77</f>
        <v>-3.7955486666512333E-8</v>
      </c>
      <c r="G79" s="40">
        <f>(G77-G78)/G77</f>
        <v>-2.8421709430404018E-16</v>
      </c>
      <c r="I79" s="40">
        <f>(I77-I78)/I77</f>
        <v>-5.0000002657979361E-8</v>
      </c>
    </row>
    <row r="80" spans="1:9" ht="16.5" x14ac:dyDescent="0.3">
      <c r="C80" s="39"/>
    </row>
    <row r="83" spans="1:13" ht="18" x14ac:dyDescent="0.35">
      <c r="A83" s="9" t="s">
        <v>60</v>
      </c>
    </row>
    <row r="85" spans="1:13" x14ac:dyDescent="0.3">
      <c r="B85" s="1" t="s">
        <v>48</v>
      </c>
    </row>
    <row r="87" spans="1:13" x14ac:dyDescent="0.3">
      <c r="C87" s="1" t="s">
        <v>49</v>
      </c>
      <c r="E87" s="1" t="s">
        <v>50</v>
      </c>
      <c r="G87" s="1" t="s">
        <v>51</v>
      </c>
    </row>
    <row r="88" spans="1:13" ht="16.5" x14ac:dyDescent="0.3">
      <c r="B88" s="1" t="s">
        <v>19</v>
      </c>
      <c r="C88" s="43">
        <v>0.15</v>
      </c>
      <c r="E88" s="1" t="s">
        <v>19</v>
      </c>
      <c r="F88" s="43">
        <v>0.15</v>
      </c>
      <c r="H88" s="1" t="s">
        <v>19</v>
      </c>
      <c r="I88" s="43">
        <v>0.15</v>
      </c>
    </row>
    <row r="89" spans="1:13" ht="16.5" x14ac:dyDescent="0.3">
      <c r="B89" s="1" t="s">
        <v>1</v>
      </c>
      <c r="C89" s="35">
        <v>10</v>
      </c>
      <c r="E89" s="1" t="s">
        <v>1</v>
      </c>
      <c r="F89" s="35">
        <v>10</v>
      </c>
      <c r="H89" s="1" t="s">
        <v>1</v>
      </c>
      <c r="I89" s="35">
        <v>10</v>
      </c>
    </row>
    <row r="90" spans="1:13" ht="16.5" x14ac:dyDescent="0.3">
      <c r="B90" s="1" t="s">
        <v>26</v>
      </c>
      <c r="C90" s="21">
        <v>717.73306850862275</v>
      </c>
      <c r="E90" s="1" t="s">
        <v>53</v>
      </c>
      <c r="F90" s="47">
        <v>0.05</v>
      </c>
      <c r="H90" s="1" t="s">
        <v>54</v>
      </c>
      <c r="I90" s="21">
        <v>15</v>
      </c>
    </row>
    <row r="91" spans="1:13" ht="16.5" x14ac:dyDescent="0.3">
      <c r="I91" s="1">
        <v>100</v>
      </c>
      <c r="M91" s="50"/>
    </row>
    <row r="93" spans="1:13" x14ac:dyDescent="0.3">
      <c r="B93" s="1" t="s">
        <v>55</v>
      </c>
      <c r="C93" s="46" cm="1">
        <f t="array" ref="C93">Factor_RU(C88,C89)</f>
        <v>5.0187686258542277</v>
      </c>
      <c r="E93" s="1" t="s">
        <v>55</v>
      </c>
      <c r="F93" s="1" cm="1">
        <f t="array" ref="F93">Factor_RGG(F88,F89,F90)</f>
        <v>5.9736216037653191</v>
      </c>
      <c r="H93" s="1" t="s">
        <v>55</v>
      </c>
      <c r="I93" s="1" cm="1">
        <f t="array" ref="I93">Factor2_RGA(I88,I89,I90)</f>
        <v>254.69215646355693</v>
      </c>
      <c r="M93" s="44"/>
    </row>
    <row r="94" spans="1:13" x14ac:dyDescent="0.3">
      <c r="B94" s="1" t="s">
        <v>56</v>
      </c>
      <c r="C94" s="46">
        <f>( 1 - (1 + C88)^-C89)/C88</f>
        <v>5.0187686258542277</v>
      </c>
      <c r="E94" s="1" t="s">
        <v>56</v>
      </c>
      <c r="F94" s="1">
        <f>(1-((1+F90)/(1+F88))^F89)/(F88-F90)</f>
        <v>5.9736216037653209</v>
      </c>
      <c r="H94" s="1" t="s">
        <v>56</v>
      </c>
      <c r="I94" s="48">
        <f xml:space="preserve"> (I90/I88)* (( 1 - (1+I88)^-I89)/I88 - I89/(1+I88)^I89)</f>
        <v>254.69215646355693</v>
      </c>
      <c r="M94" s="44"/>
    </row>
    <row r="95" spans="1:13" ht="16.5" x14ac:dyDescent="0.3">
      <c r="C95" s="44"/>
      <c r="M95" s="44"/>
    </row>
    <row r="96" spans="1:13" x14ac:dyDescent="0.3">
      <c r="B96" s="1" t="s">
        <v>58</v>
      </c>
      <c r="C96" s="45">
        <f>PMT(C88,C89,-C90)</f>
        <v>143.00979423741808</v>
      </c>
      <c r="I96" s="1">
        <f xml:space="preserve"> (I90/I88)* (( 1 - (1+I88)^-I89)/I88 - I89/(1+I88)^I89)</f>
        <v>254.69215646355693</v>
      </c>
    </row>
    <row r="97" spans="2:9" ht="16.5" x14ac:dyDescent="0.3">
      <c r="B97" s="1" t="s">
        <v>57</v>
      </c>
      <c r="C97" s="45">
        <f xml:space="preserve"> C90 / C94</f>
        <v>143.00979423741811</v>
      </c>
    </row>
    <row r="98" spans="2:9" ht="16.5" x14ac:dyDescent="0.3">
      <c r="I98" s="17"/>
    </row>
    <row r="99" spans="2:9" ht="16.5" x14ac:dyDescent="0.3">
      <c r="B99" s="1" t="s">
        <v>52</v>
      </c>
      <c r="C99" s="45">
        <f>C96 * C94</f>
        <v>717.73306850862252</v>
      </c>
    </row>
    <row r="105" spans="2:9" x14ac:dyDescent="0.3">
      <c r="D105" s="52"/>
    </row>
    <row r="106" spans="2:9" x14ac:dyDescent="0.3">
      <c r="D106" s="53"/>
    </row>
    <row r="108" spans="2:9" x14ac:dyDescent="0.3">
      <c r="D108" s="52"/>
    </row>
    <row r="110" spans="2:9" x14ac:dyDescent="0.3">
      <c r="D110" s="51"/>
      <c r="G110" s="44"/>
    </row>
    <row r="111" spans="2:9" x14ac:dyDescent="0.3">
      <c r="D111" s="44"/>
      <c r="E111" s="44"/>
      <c r="G111" s="44"/>
    </row>
    <row r="113" spans="4:4" x14ac:dyDescent="0.3">
      <c r="D113" s="54"/>
    </row>
  </sheetData>
  <hyperlinks>
    <hyperlink ref="S3" r:id="rId1" xr:uid="{AB43C2D1-C545-4D81-9E6E-3E9AF5D7086F}"/>
    <hyperlink ref="S2" r:id="rId2" xr:uid="{E5AEE112-7C53-4442-A0B3-DE574297B720}"/>
    <hyperlink ref="S1" r:id="rId3" xr:uid="{D9542116-23FF-409A-A953-933837544C5A}"/>
  </hyperlinks>
  <pageMargins left="0.7" right="0.7" top="0.75" bottom="0.75" header="0.3" footer="0.3"/>
  <pageSetup paperSize="9" scale="25" orientation="landscape" horizontalDpi="1200" verticalDpi="1200" r:id="rId4"/>
  <ignoredErrors>
    <ignoredError sqref="G78 C78 I78 M35:M36 C35:D36" unlockedFormula="1"/>
  </ignoredErrors>
  <drawing r:id="rId5"/>
  <legacy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FDFFD-0CCB-4AD5-A335-E2887A977677}">
  <sheetPr codeName="Hoja1"/>
  <dimension ref="A1"/>
  <sheetViews>
    <sheetView tabSelected="1" workbookViewId="0"/>
  </sheetViews>
  <sheetFormatPr baseColWidth="10" defaultRowHeight="14.4" x14ac:dyDescent="0.3"/>
  <sheetData>
    <row r="1" spans="1:1" x14ac:dyDescent="0.3">
      <c r="A1" t="e">
        <f>Factor2_RGA_cPER()</f>
        <v>#VALUE!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RentasGradientes" label="Gradients">
        <group id="GeomGrad" label="Geometric Gradient">
          <button id="xButton1" label="PV RGG" imageMso="TableIndexes" size="large" onAction="funciones.CallPV_RGG"/>
          <button id="xButton2" label="FV RGG" imageMso="AutoFormatDialog" onAction="funciones.CallFV_RGG"/>
          <button id="xButton3" label="PMT RGG" imageMso="AdpManageIndexes" onAction="funciones.CallPMT_RGG"/>
        </group>
        <group id="AritGrad" label="Arithmetic Gradient">
          <button id="xButton4" label="PV RGA" imageMso="AdpOutputOperationsAddToOutput" size="large" onAction="funciones.CallPV_RGA"/>
          <button id="xButton5" label="FV RGA" imageMso="TableOfContentsAddTextGallery" onAction="funciones.CallFV_RGA"/>
          <button id="xButton6" label="PMT RGA" imageMso="DataFormAddRecord" onAction="funciones.CallPMT_RGA"/>
        </group>
        <group id="GeomPerp" label="Geometric Perpetuity">
          <button id="xButton7" label="PV RGG PER" imageMso="AutoCorrect" size="large" onAction="funciones.CallPV_RGG_cPER"/>
          <button id="xButton8" label="PMT RGG PER" imageMso="ReplaceWithAutoText" size="large" onAction="funciones.CallPMT_RGG_cPER"/>
        </group>
        <group id="AritPerp" label="Arithmetic Perpetuity">
          <button id="xButton9" label="PV RGA PER" imageMso="PivotExpandField" size="large" onAction="funciones.CallPV_RGA_cPER"/>
          <button id="xButton10" label="PMT RGA PER" imageMso="AdpStoredProcedureQueryAppendValues" size="large" onAction="funciones.CallPMT_RGA_cPER"/>
        </group>
        <group id="FactFinPerp" label="Factors Finite and Perp">
          <button id="xButton11" label="Factor RU" imageMso="ForwardToMobile" size="large" onAction="funciones.CallFactor_RU"/>
          <button id="xButton12" label="Factor RGG" imageMso="AutoFormatChange" onAction="funciones.CallFactor_RGG"/>
          <button id="xButton13" label="Factor RGG Per" imageMso="RegionLayoutMenu" onAction="funciones.CallFactor_RGG_cPER"/>
          <separator id="separador01"/>
          <button id="xButton14" label="Factor RGA" imageMso="QueryAppend" onAction="funciones.CallFactor2_RGA"/>
          <button id="xButton15" label="Factor RGA Per" imageMso="AdpStoredProcedureQueryAppendValues" onAction="funciones.CallFactor2_RGA_cP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Mate_Finan</vt:lpstr>
      <vt:lpstr>Pruebas</vt:lpstr>
      <vt:lpstr>Mate_Finan!Área_de_impresión</vt:lpstr>
    </vt:vector>
  </TitlesOfParts>
  <Company>Inkapitales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Formulas de Rentas con Gradientes</dc:title>
  <dc:creator>Alfonso Chang</dc:creator>
  <cp:lastModifiedBy>Steve Chunga</cp:lastModifiedBy>
  <dcterms:created xsi:type="dcterms:W3CDTF">2022-06-10T00:40:13Z</dcterms:created>
  <dcterms:modified xsi:type="dcterms:W3CDTF">2024-10-27T23:52:12Z</dcterms:modified>
</cp:coreProperties>
</file>