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a167c93301f74e77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1240d02507f1707/017. Macros/Inkapitales/Rentas_con_Gradientes/"/>
    </mc:Choice>
  </mc:AlternateContent>
  <xr:revisionPtr revIDLastSave="211" documentId="13_ncr:1_{E2274DF8-D214-4B2E-B8CC-6F2A858EDA18}" xr6:coauthVersionLast="47" xr6:coauthVersionMax="47" xr10:uidLastSave="{760C4C77-E8D0-451F-BFDC-9373DCF66895}"/>
  <bookViews>
    <workbookView xWindow="-108" yWindow="-108" windowWidth="23256" windowHeight="13896" xr2:uid="{3B0C273C-F8FB-4DC7-86EB-B0CAF1ED3171}"/>
  </bookViews>
  <sheets>
    <sheet name="Mate_Finan" sheetId="1" r:id="rId1"/>
    <sheet name="Pruebas" sheetId="2" r:id="rId2"/>
  </sheets>
  <functionGroups builtInGroupCount="19"/>
  <externalReferences>
    <externalReference r:id="rId3"/>
  </externalReferences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4" i="1" l="1"/>
  <c r="I94" i="1"/>
  <c r="I96" i="1"/>
  <c r="F93" i="1" a="1"/>
  <c r="C77" i="1" a="1"/>
  <c r="D36" i="1" a="1"/>
  <c r="M35" i="1" a="1"/>
  <c r="I77" i="1" a="1"/>
  <c r="C93" i="1" a="1"/>
  <c r="I93" i="1" a="1"/>
  <c r="E77" i="1" a="1"/>
  <c r="C36" i="1" a="1"/>
  <c r="C35" i="1" a="1"/>
  <c r="G77" i="1" a="1"/>
  <c r="D35" i="1" a="1"/>
  <c r="M36" i="1" a="1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<sst xmlns="http://schemas.openxmlformats.org/spreadsheetml/2006/main" count="107" uniqueCount="68">
  <si>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</si>
  <si>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</si>
  <si>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</si>
  <si>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</si>
  <si>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</si>
  <si>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</si>
  <si>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</si>
  <si>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</si>
  <si>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</si>
  <si>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</si>
  <si>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</si>
  <si>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</si>
  <si>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</si>
  <si>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</si>
  <si>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</si>
  <si>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</si>
  <si>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</si>
  <si>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</si>
  <si>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</si>
  <si>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</si>
  <si>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</si>
  <si>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</si>
  <si>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</si>
  <si>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</si>
  <si>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</si>
  <si>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</si>
  <si>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</si>
  <si>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</si>
  <si>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</si>
  <si>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</si>
  <si>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</si>
  <si>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</si>
  <si>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</si>
  <si>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</si>
  <si>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</si>
  <si>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</si>
  <si>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</si>
  <si>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</si>
  <si>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</si>
  <si>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</si>
  <si>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</si>
  <si>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</si>
  <si>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</si>
  <si>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</si>
  <si>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</si>
  <si>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</si>
  <si>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</si>
  <si>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</si>
  <si>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</si>
  <si>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</si>
  <si>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</si>
  <si>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</si>
  <si>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</si>
  <si>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</si>
  <si>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</si>
  <si>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</si>
  <si>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</si>
  <si>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</si>
  <si>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</si>
  <si>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</si>
  <si>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</si>
  <si>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</si>
  <si>
    <t>Rate</t>
  </si>
  <si>
    <t>nper</t>
  </si>
  <si>
    <t>pmt</t>
  </si>
  <si>
    <t>PV</t>
  </si>
  <si>
    <t>FV</t>
  </si>
  <si>
    <t>PMT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</si>
</sst>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&quot;$&quot;#,##0.00;[Red]\-&quot;$&quot;#,##0.00"/>
    <numFmt numFmtId="165" formatCode="_-&quot;$&quot;* #,##0.00_-;\-&quot;$&quot;* #,##0.00_-;_-&quot;$&quot;* &quot;-&quot;??_-;_-@_-"/>
    <numFmt numFmtId="166" formatCode="_-* #,##0_-;\-* #,##0_-;_-* &quot;-&quot;??_-;_-@_-"/>
    <numFmt numFmtId="167" formatCode="_-&quot;$&quot;* #,##0.00000_-;\-&quot;$&quot;* #,##0.00000_-;_-&quot;$&quot;* &quot;-&quot;??_-;_-@_-"/>
    <numFmt numFmtId="168" formatCode="0.000%"/>
    <numFmt numFmtId="169" formatCode="0.0%"/>
    <numFmt numFmtId="170" formatCode="_-* #,##0.00000_-;\-* #,##0.00000_-;_-* &quot;-&quot;??_-;_-@_-"/>
    <numFmt numFmtId="171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165" fontId="7" fillId="2" borderId="0" xfId="2" applyFont="1" applyFill="1"/>
    <xf numFmtId="165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165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6" fontId="16" fillId="3" borderId="8" xfId="1" applyNumberFormat="1" applyFont="1" applyFill="1" applyBorder="1" applyProtection="1">
      <protection locked="0"/>
    </xf>
    <xf numFmtId="165" fontId="15" fillId="3" borderId="9" xfId="2" applyFont="1" applyFill="1" applyBorder="1" applyProtection="1">
      <protection locked="0"/>
    </xf>
    <xf numFmtId="165" fontId="15" fillId="3" borderId="10" xfId="2" applyFont="1" applyFill="1" applyBorder="1" applyProtection="1">
      <protection locked="0"/>
    </xf>
    <xf numFmtId="165" fontId="10" fillId="3" borderId="11" xfId="2" applyFont="1" applyFill="1" applyBorder="1" applyAlignment="1" applyProtection="1">
      <alignment horizontal="center"/>
      <protection locked="0"/>
    </xf>
    <xf numFmtId="165" fontId="15" fillId="3" borderId="11" xfId="2" applyFont="1" applyFill="1" applyBorder="1" applyProtection="1">
      <protection locked="0"/>
    </xf>
    <xf numFmtId="165" fontId="15" fillId="3" borderId="12" xfId="2" applyFont="1" applyFill="1" applyBorder="1" applyProtection="1">
      <protection locked="0"/>
    </xf>
    <xf numFmtId="165" fontId="15" fillId="3" borderId="13" xfId="2" applyFont="1" applyFill="1" applyBorder="1" applyProtection="1">
      <protection locked="0"/>
    </xf>
    <xf numFmtId="165" fontId="10" fillId="3" borderId="13" xfId="2" applyFont="1" applyFill="1" applyBorder="1" applyAlignment="1" applyProtection="1">
      <alignment horizontal="center"/>
      <protection locked="0"/>
    </xf>
    <xf numFmtId="165" fontId="9" fillId="2" borderId="0" xfId="0" applyNumberFormat="1" applyFont="1" applyFill="1"/>
    <xf numFmtId="164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6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7" fontId="2" fillId="2" borderId="0" xfId="0" applyNumberFormat="1" applyFont="1" applyFill="1"/>
    <xf numFmtId="168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70" fontId="2" fillId="2" borderId="0" xfId="1" applyNumberFormat="1" applyFont="1" applyFill="1"/>
    <xf numFmtId="171" fontId="2" fillId="2" borderId="0" xfId="1" applyNumberFormat="1" applyFont="1" applyFill="1"/>
    <xf numFmtId="169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164" fontId="2" fillId="2" borderId="0" xfId="0" applyNumberFormat="1" applyFont="1" applyFill="1"/>
    <xf numFmtId="9" fontId="2" fillId="2" borderId="0" xfId="0" applyNumberFormat="1" applyFont="1" applyFill="1"/>
    <xf numFmtId="43" fontId="7" fillId="2" borderId="0" xfId="1" applyFont="1" applyFill="1"/>
    <xf numFmtId="9" fontId="7" fillId="2" borderId="0" xfId="0" applyNumberFormat="1" applyFont="1" applyFill="1"/>
    <xf numFmtId="0" fontId="7" fillId="2" borderId="0" xfId="0" applyFont="1" applyFill="1"/>
    <xf numFmtId="166" fontId="2" fillId="2" borderId="0" xfId="1" applyNumberFormat="1" applyFont="1" applyFill="1"/>
    <xf numFmtId="9" fontId="0" fillId="0" borderId="0" xfId="0" applyNumberFormat="1"/>
    <xf numFmtId="4" fontId="0" fillId="0" borderId="0" xfId="0" applyNumberFormat="1"/>
    <xf numFmtId="4" fontId="0" fillId="0" borderId="0" xfId="1" applyNumberFormat="1" applyFont="1"/>
  </cellXfs>
  <cellStyles count="5">
    <cellStyle name="Hipervínculo" xfId="3" builtinId="8"/>
    <cellStyle name="Millares" xfId="1" builtinId="3"/>
    <cellStyle name="Moneda" xfId="2" builtinId="4"/>
    <cellStyle name="Normal" xfId="0" builtinId="0"/>
    <cellStyle name="Porcentaje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nkaMetrics\Gradients\RentasconGradientes4.xlam" TargetMode="External"/><Relationship Id="rId1" Type="http://schemas.openxmlformats.org/officeDocument/2006/relationships/externalLinkPath" Target="file:///C:\InkaMetrics\Gradients\RentasconGradientes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e_Finan"/>
      <sheetName val="Pruebas"/>
      <sheetName val="RentasconGradientes4"/>
    </sheetNames>
    <definedNames>
      <definedName name="Factor_RGG"/>
      <definedName name="Factor_RU"/>
      <definedName name="Factor2_RGA"/>
      <definedName name="FV_RGA"/>
      <definedName name="FV_RGG"/>
      <definedName name="PMT_RGA"/>
      <definedName name="PMT_RGA_cPER"/>
      <definedName name="PMT_RGG"/>
      <definedName name="PMT_RGG_cPER"/>
      <definedName name="PV_RGA"/>
      <definedName name="PV_RGA_cPER"/>
      <definedName name="PV_RGG"/>
      <definedName name="PV_RGG_cPER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113"/>
  <sheetViews>
    <sheetView showGridLines="0" tabSelected="1" zoomScaleNormal="100" workbookViewId="0">
      <pane ySplit="2" topLeftCell="A3" activePane="bottomLeft" state="frozen"/>
      <selection pane="bottomLeft" activeCell="C19" sqref="C19"/>
    </sheetView>
  </sheetViews>
  <sheetFormatPr baseColWidth="10" defaultColWidth="0" defaultRowHeight="14.4" x14ac:dyDescent="0.3"/>
  <cols>
    <col min="1" max="1" width="5" style="1" customWidth="1"/>
    <col min="2" max="2" width="18" style="1" bestFit="1" customWidth="1"/>
    <col min="3" max="3" width="15.88671875" style="1" customWidth="1"/>
    <col min="4" max="4" width="14" style="1" customWidth="1"/>
    <col min="5" max="5" width="14.109375" style="1" customWidth="1"/>
    <col min="6" max="6" width="21" style="1" bestFit="1" customWidth="1"/>
    <col min="7" max="7" width="16.109375" style="1" customWidth="1"/>
    <col min="8" max="8" width="17.33203125" style="1" bestFit="1" customWidth="1"/>
    <col min="9" max="9" width="15.88671875" style="1" customWidth="1"/>
    <col min="10" max="10" width="15" style="1" customWidth="1"/>
    <col min="11" max="12" width="9.109375" style="1" customWidth="1"/>
    <col min="13" max="13" width="15.33203125" style="1" customWidth="1"/>
    <col min="14" max="14" width="11.88671875" style="1" customWidth="1"/>
    <col min="15" max="26" width="9.109375" style="1" customWidth="1"/>
    <col min="27" max="27" width="0" style="1" hidden="1" customWidth="1"/>
    <col min="28" max="16384" width="9.109375" style="1" hidden="1"/>
  </cols>
  <sheetData>
    <row r="1" spans="1:19" ht="23.4" x14ac:dyDescent="0.4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8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ht="16.5" x14ac:dyDescent="0.3">
      <c r="B6" s="7" t="s">
        <v>0</v>
      </c>
    </row>
    <row r="8" spans="1:19" ht="16.5" x14ac:dyDescent="0.3">
      <c r="B8" s="1" t="s">
        <v>19</v>
      </c>
      <c r="C8" s="19">
        <v>0.15</v>
      </c>
    </row>
    <row r="9" spans="1:19" ht="16.5" x14ac:dyDescent="0.3">
      <c r="B9" s="1" t="s">
        <v>1</v>
      </c>
      <c r="C9" s="20">
        <v>10</v>
      </c>
    </row>
    <row r="10" spans="1:19" ht="16.5" x14ac:dyDescent="0.3">
      <c r="B10" s="1" t="s">
        <v>20</v>
      </c>
      <c r="C10" s="21">
        <v>100</v>
      </c>
    </row>
    <row r="11" spans="1:19" ht="16.5" x14ac:dyDescent="0.3">
      <c r="B11" s="1" t="s">
        <v>2</v>
      </c>
      <c r="C11" s="22">
        <v>0.1</v>
      </c>
    </row>
    <row r="12" spans="1:19" ht="16.5" x14ac:dyDescent="0.3">
      <c r="B12" s="1" t="s">
        <v>3</v>
      </c>
      <c r="C12" s="23">
        <v>15</v>
      </c>
    </row>
    <row r="13" spans="1:19" ht="16.5" x14ac:dyDescent="0.3">
      <c r="G13" s="49"/>
    </row>
    <row r="14" spans="1:19" ht="16.5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ht="16.5" x14ac:dyDescent="0.3">
      <c r="H16" s="17"/>
      <c r="I16" s="10"/>
      <c r="J16" s="8"/>
    </row>
    <row r="17" spans="1:14" s="10" customFormat="1" ht="16.5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ht="16.5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x14ac:dyDescent="0.3">
      <c r="H20" s="17"/>
      <c r="J20" s="8"/>
    </row>
    <row r="21" spans="1:14" x14ac:dyDescent="0.3">
      <c r="H21" s="17"/>
      <c r="J21" s="8"/>
    </row>
    <row r="22" spans="1:14" x14ac:dyDescent="0.3">
      <c r="H22" s="17"/>
      <c r="J22" s="8"/>
    </row>
    <row r="23" spans="1:14" x14ac:dyDescent="0.3">
      <c r="H23" s="17"/>
      <c r="J23" s="8"/>
    </row>
    <row r="24" spans="1:14" x14ac:dyDescent="0.3">
      <c r="H24" s="17"/>
      <c r="J24" s="8"/>
    </row>
    <row r="25" spans="1:14" x14ac:dyDescent="0.3">
      <c r="H25" s="17"/>
      <c r="J25" s="8"/>
    </row>
    <row r="26" spans="1:14" x14ac:dyDescent="0.3">
      <c r="J26" s="8"/>
    </row>
    <row r="27" spans="1:14" x14ac:dyDescent="0.3">
      <c r="J27" s="8"/>
    </row>
    <row r="29" spans="1:14" ht="18" x14ac:dyDescent="0.35">
      <c r="A29" s="9" t="s">
        <v>45</v>
      </c>
    </row>
    <row r="30" spans="1:14" ht="18" x14ac:dyDescent="0.35">
      <c r="A30" s="9"/>
    </row>
    <row r="31" spans="1:14" s="9" customFormat="1" ht="18" x14ac:dyDescent="0.35">
      <c r="B31" s="9" t="s">
        <v>12</v>
      </c>
      <c r="J31" s="8"/>
      <c r="L31" s="9" t="s">
        <v>13</v>
      </c>
    </row>
    <row r="32" spans="1:14" x14ac:dyDescent="0.3">
      <c r="J32" s="8"/>
    </row>
    <row r="33" spans="2:20" s="7" customFormat="1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x14ac:dyDescent="0.3">
      <c r="C34" s="13" t="s">
        <v>8</v>
      </c>
      <c r="D34" s="13"/>
      <c r="J34" s="8"/>
      <c r="M34" s="13" t="s">
        <v>8</v>
      </c>
      <c r="N34" s="13"/>
    </row>
    <row r="35" spans="2:20" x14ac:dyDescent="0.3">
      <c r="B35" s="15" t="s">
        <v>14</v>
      </c>
      <c r="C35" s="24" cm="1">
        <f t="array" ref="C35">[1]!PV_RGG(C8,C9,C10,C11)</f>
        <v>717.73306448875314</v>
      </c>
      <c r="D35" s="27" cm="1">
        <f t="array" ref="D35">[1]!PV_RGG_cPER(C8,C10,C11)</f>
        <v>2000.0000000000005</v>
      </c>
      <c r="J35" s="8"/>
      <c r="L35" s="15" t="s">
        <v>15</v>
      </c>
      <c r="M35" s="24" cm="1">
        <f t="array" ref="M35">[1]!FV_RGG(C8,C9,C10,C11)</f>
        <v>2903.6305512158169</v>
      </c>
      <c r="N35" s="26" t="s">
        <v>11</v>
      </c>
    </row>
    <row r="36" spans="2:20" ht="15" thickBot="1" x14ac:dyDescent="0.35">
      <c r="B36" s="15" t="s">
        <v>16</v>
      </c>
      <c r="C36" s="28" cm="1">
        <f t="array" ref="C36">[1]!PV_RGA(C8, C9, C10, C12)</f>
        <v>756.56901904897973</v>
      </c>
      <c r="D36" s="29" cm="1">
        <f t="array" ref="D36">[1]!PV_RGA_cPER(C8,C10,C12)</f>
        <v>1333.3333333333335</v>
      </c>
      <c r="J36" s="8"/>
      <c r="L36" s="15" t="s">
        <v>17</v>
      </c>
      <c r="M36" s="28" cm="1">
        <f t="array" ref="M36">[1]!FV_RGA(C8,C9,C10,C12)</f>
        <v>3060.7436476105422</v>
      </c>
      <c r="N36" s="30" t="s">
        <v>11</v>
      </c>
    </row>
    <row r="37" spans="2:20" x14ac:dyDescent="0.3">
      <c r="C37" s="16"/>
    </row>
    <row r="38" spans="2:20" x14ac:dyDescent="0.3">
      <c r="B38" s="41" t="s">
        <v>36</v>
      </c>
      <c r="C38" s="16"/>
      <c r="L38" s="41" t="s">
        <v>40</v>
      </c>
      <c r="M38" s="16"/>
    </row>
    <row r="39" spans="2:20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x14ac:dyDescent="0.3">
      <c r="C40" s="16"/>
      <c r="J40" s="17"/>
      <c r="K40" s="17"/>
      <c r="L40" s="17"/>
      <c r="T40" s="1" t="s">
        <v>35</v>
      </c>
    </row>
    <row r="41" spans="2:20" x14ac:dyDescent="0.3">
      <c r="C41" s="16"/>
      <c r="J41" s="8"/>
    </row>
    <row r="42" spans="2:20" x14ac:dyDescent="0.3">
      <c r="J42" s="8"/>
    </row>
    <row r="43" spans="2:20" x14ac:dyDescent="0.3">
      <c r="J43" s="8"/>
    </row>
    <row r="44" spans="2:20" x14ac:dyDescent="0.3">
      <c r="J44" s="8"/>
    </row>
    <row r="45" spans="2:20" x14ac:dyDescent="0.3">
      <c r="J45" s="8"/>
    </row>
    <row r="46" spans="2:20" x14ac:dyDescent="0.3">
      <c r="B46" s="41" t="s">
        <v>37</v>
      </c>
      <c r="J46" s="8"/>
      <c r="L46" s="41" t="s">
        <v>41</v>
      </c>
    </row>
    <row r="47" spans="2:20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x14ac:dyDescent="0.3">
      <c r="J48" s="8"/>
    </row>
    <row r="49" spans="2:12" x14ac:dyDescent="0.3">
      <c r="J49" s="8"/>
    </row>
    <row r="50" spans="2:12" x14ac:dyDescent="0.3">
      <c r="J50" s="8"/>
    </row>
    <row r="52" spans="2:12" x14ac:dyDescent="0.3">
      <c r="L52" s="41" t="s">
        <v>42</v>
      </c>
    </row>
    <row r="53" spans="2:12" x14ac:dyDescent="0.3">
      <c r="B53" s="41" t="s">
        <v>38</v>
      </c>
      <c r="J53" s="8"/>
    </row>
    <row r="54" spans="2:12" x14ac:dyDescent="0.3">
      <c r="J54" s="8"/>
    </row>
    <row r="55" spans="2:12" x14ac:dyDescent="0.3">
      <c r="J55" s="8"/>
    </row>
    <row r="56" spans="2:12" x14ac:dyDescent="0.3">
      <c r="J56" s="8"/>
    </row>
    <row r="57" spans="2:12" x14ac:dyDescent="0.3">
      <c r="J57" s="8"/>
    </row>
    <row r="58" spans="2:12" x14ac:dyDescent="0.3">
      <c r="J58" s="8"/>
    </row>
    <row r="59" spans="2:12" x14ac:dyDescent="0.3">
      <c r="B59" s="41" t="s">
        <v>39</v>
      </c>
      <c r="J59" s="8"/>
      <c r="L59" s="41" t="s">
        <v>43</v>
      </c>
    </row>
    <row r="60" spans="2:12" x14ac:dyDescent="0.3">
      <c r="J60" s="8"/>
    </row>
    <row r="61" spans="2:12" x14ac:dyDescent="0.3">
      <c r="J61" s="8"/>
    </row>
    <row r="62" spans="2:12" x14ac:dyDescent="0.3">
      <c r="J62" s="8"/>
    </row>
    <row r="63" spans="2:12" x14ac:dyDescent="0.3">
      <c r="J63" s="8"/>
    </row>
    <row r="65" spans="1:9" ht="18" x14ac:dyDescent="0.35">
      <c r="A65" s="9" t="s">
        <v>46</v>
      </c>
    </row>
    <row r="67" spans="1:9" x14ac:dyDescent="0.3">
      <c r="B67" s="7" t="s">
        <v>0</v>
      </c>
      <c r="C67" s="7"/>
    </row>
    <row r="68" spans="1:9" x14ac:dyDescent="0.3">
      <c r="B68" s="7"/>
      <c r="C68" s="7"/>
    </row>
    <row r="69" spans="1:9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x14ac:dyDescent="0.3">
      <c r="B77" s="42" t="s">
        <v>31</v>
      </c>
      <c r="C77" s="24" cm="1">
        <f t="array" ref="C77">[1]!PMT_RGG(C71,C72,C73,C74)</f>
        <v>100.00000056007865</v>
      </c>
      <c r="D77" s="42" t="s">
        <v>30</v>
      </c>
      <c r="E77" s="24" cm="1">
        <f t="array" ref="E77">[1]!PMT_RGA(E71,E72,E73,E75)</f>
        <v>100</v>
      </c>
      <c r="F77" s="42" t="s">
        <v>47</v>
      </c>
      <c r="G77" s="24" cm="1">
        <f t="array" ref="G77">[1]!PMT_RGG_cPER(G71,G73,G74)</f>
        <v>100</v>
      </c>
      <c r="H77" s="42" t="s">
        <v>32</v>
      </c>
      <c r="I77" s="24" cm="1">
        <f t="array" ref="I77">[1]!PMT_RGA_cPER(I71,I73,I75)</f>
        <v>100.00000000000001</v>
      </c>
    </row>
    <row r="78" spans="1:9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x14ac:dyDescent="0.3">
      <c r="B79" s="1" t="s">
        <v>33</v>
      </c>
      <c r="C79" s="40">
        <f>(C77-C78)/C77</f>
        <v>-2.8421709271220082E-15</v>
      </c>
      <c r="E79" s="40">
        <f>(E77-E78)/E77</f>
        <v>-1.4210854715202004E-16</v>
      </c>
      <c r="G79" s="40">
        <f>(G77-G78)/G77</f>
        <v>0</v>
      </c>
      <c r="I79" s="40">
        <f>(I77-I78)/I77</f>
        <v>0</v>
      </c>
    </row>
    <row r="80" spans="1:9" x14ac:dyDescent="0.3">
      <c r="C80" s="39"/>
    </row>
    <row r="83" spans="1:13" ht="18" x14ac:dyDescent="0.35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[1]!Factor_RU(C88,C89)</f>
        <v>5.0187686258542277</v>
      </c>
      <c r="E93" s="1" t="s">
        <v>55</v>
      </c>
      <c r="F93" s="1" cm="1">
        <f t="array" ref="F93">[1]!Factor_RGG(F88,F89,F90)</f>
        <v>5.9736216037653191</v>
      </c>
      <c r="H93" s="1" t="s">
        <v>55</v>
      </c>
      <c r="I93" s="1" cm="1">
        <f t="array" ref="I93">[1]!Factor2_RGA(I88,I89,I90)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x14ac:dyDescent="0.3">
      <c r="B97" s="1" t="s">
        <v>57</v>
      </c>
      <c r="C97" s="45">
        <f xml:space="preserve"> C90 / C94</f>
        <v>143.00979423741811</v>
      </c>
    </row>
    <row r="98" spans="2:9" x14ac:dyDescent="0.3">
      <c r="I98" s="17"/>
    </row>
    <row r="99" spans="2:9" x14ac:dyDescent="0.3">
      <c r="B99" s="1" t="s">
        <v>52</v>
      </c>
      <c r="C99" s="45">
        <f>C96 * C94</f>
        <v>717.73306850862252</v>
      </c>
    </row>
    <row r="105" spans="2:9" x14ac:dyDescent="0.3">
      <c r="D105" s="52"/>
    </row>
    <row r="106" spans="2:9" x14ac:dyDescent="0.3">
      <c r="D106" s="53"/>
    </row>
    <row r="108" spans="2:9" x14ac:dyDescent="0.3">
      <c r="D108" s="52"/>
    </row>
    <row r="110" spans="2:9" x14ac:dyDescent="0.3">
      <c r="D110" s="51"/>
      <c r="G110" s="44"/>
    </row>
    <row r="111" spans="2:9" x14ac:dyDescent="0.3">
      <c r="D111" s="44"/>
      <c r="E111" s="44"/>
      <c r="G111" s="44"/>
    </row>
    <row r="113" spans="4:4" x14ac:dyDescent="0.3">
      <c r="D113" s="54"/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DFFD-0CCB-4AD5-A335-E2887A977677}">
  <sheetPr codeName="Hoja1"/>
  <dimension ref="A1:E13"/>
  <sheetViews>
    <sheetView workbookViewId="0">
      <selection activeCell="B8" sqref="B8"/>
    </sheetView>
  </sheetViews>
  <sheetFormatPr baseColWidth="10" defaultColWidth="11.44140625" defaultRowHeight="14.4" x14ac:dyDescent="0.3"/>
  <sheetData>
    <row r="1" spans="1:5" x14ac:dyDescent="0.3">
      <c r="A1" t="s">
        <v>62</v>
      </c>
      <c r="B1" s="55">
        <v>0.15</v>
      </c>
    </row>
    <row r="2" spans="1:5" x14ac:dyDescent="0.3">
      <c r="A2" t="s">
        <v>63</v>
      </c>
      <c r="B2">
        <v>15</v>
      </c>
    </row>
    <row r="3" spans="1:5" x14ac:dyDescent="0.3">
      <c r="A3" t="s">
        <v>64</v>
      </c>
      <c r="B3">
        <v>15</v>
      </c>
    </row>
    <row r="4" spans="1:5" x14ac:dyDescent="0.3">
      <c r="A4" t="s">
        <v>2</v>
      </c>
      <c r="B4" s="55">
        <v>0.15</v>
      </c>
    </row>
    <row r="6" spans="1:5" x14ac:dyDescent="0.3">
      <c r="A6" t="s">
        <v>65</v>
      </c>
      <c r="B6" s="57">
        <v>195.65217391304347</v>
      </c>
      <c r="E6" s="56"/>
    </row>
    <row r="7" spans="1:5" x14ac:dyDescent="0.3">
      <c r="A7" t="s">
        <v>66</v>
      </c>
      <c r="B7" s="56">
        <v>1592.0337970100195</v>
      </c>
    </row>
    <row r="8" spans="1:5" x14ac:dyDescent="0.3">
      <c r="A8" t="s">
        <v>67</v>
      </c>
      <c r="B8">
        <v>-15</v>
      </c>
    </row>
    <row r="11" spans="1:5" x14ac:dyDescent="0.3">
      <c r="D11" s="56"/>
    </row>
    <row r="13" spans="1:5" x14ac:dyDescent="0.3">
      <c r="D13" s="56"/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  <group id="Grupo1" label="Tools">
          <button id="xButton101" label="Signo" imageMso="OutlineSymbolsShow" onAction="Tools.CallCambiarSigno"/>
          <button id="xButton102" label="Operacion" imageMso="AdpOutputOperationsAddToOutput" onAction="Tools.CallAddMath"/>
          <button id="xButton103" label="XConcatenar" imageMso="TaskRespectLinks" onAction="Tools.CallxConcatenar"/>
          <button id="xButton104" label="Split" imageMso="ListAddToAllContentTypes" onAction="Tools.CallSpli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Mate_Finan</vt:lpstr>
      <vt:lpstr>Pruebas</vt:lpstr>
      <vt:lpstr>Mate_Finan!Área_de_impresión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Steve Chunga</cp:lastModifiedBy>
  <dcterms:created xsi:type="dcterms:W3CDTF">2022-06-10T00:40:13Z</dcterms:created>
  <dcterms:modified xsi:type="dcterms:W3CDTF">2024-11-04T03:22:29Z</dcterms:modified>
</cp:coreProperties>
</file>